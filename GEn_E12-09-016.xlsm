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ialogsheets/sheet1.xml" ContentType="application/vnd.openxmlformats-officedocument.spreadsheetml.dialogsheet+xml"/>
  <Override PartName="/xl/dialogsheets/sheet2.xml" ContentType="application/vnd.openxmlformats-officedocument.spreadsheetml.dialogsheet+xml"/>
  <Override PartName="/xl/dialogsheets/sheet3.xml" ContentType="application/vnd.openxmlformats-officedocument.spreadsheetml.dialog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stav/Documents/Magic_Spreadsheet/"/>
    </mc:Choice>
  </mc:AlternateContent>
  <xr:revisionPtr revIDLastSave="0" documentId="8_{B1228D9C-649B-D442-8FC4-208B1E94A1EE}" xr6:coauthVersionLast="36" xr6:coauthVersionMax="36" xr10:uidLastSave="{00000000-0000-0000-0000-000000000000}"/>
  <bookViews>
    <workbookView xWindow="0" yWindow="0" windowWidth="28800" windowHeight="18000" tabRatio="651" xr2:uid="{00000000-000D-0000-FFFF-FFFF00000000}"/>
  </bookViews>
  <sheets>
    <sheet name="Radiation budget" sheetId="1" r:id="rId1"/>
    <sheet name="defaultA" sheetId="2" r:id="rId2"/>
    <sheet name="defaultC" sheetId="3" state="hidden" r:id="rId3"/>
    <sheet name="print sheet" sheetId="4" state="hidden" r:id="rId4"/>
    <sheet name="RBM1-6_results" sheetId="5" r:id="rId5"/>
    <sheet name="Dialog4" sheetId="6" state="hidden" r:id="rId6"/>
    <sheet name="Dialog1" sheetId="7" r:id="rId7"/>
    <sheet name="Dialog3" sheetId="8" state="hidden" r:id="rId8"/>
    <sheet name="data" sheetId="9" r:id="rId9"/>
    <sheet name="Sheet1" sheetId="11" r:id="rId10"/>
    <sheet name="data1" sheetId="10" r:id="rId11"/>
  </sheets>
  <functionGroups builtInGroupCount="19"/>
  <definedNames>
    <definedName name="A_data">data1!$G$2:$G$27</definedName>
    <definedName name="add_target1" localSheetId="3">'print sheet'!$A$18:$C$22</definedName>
    <definedName name="add_target1">'Radiation budget'!$A$18:$E$22</definedName>
    <definedName name="add_target2" localSheetId="3">'print sheet'!$A$23:$C$27</definedName>
    <definedName name="add_target2">'Radiation budget'!$A$23:$E$27</definedName>
    <definedName name="add_target3" localSheetId="3">'print sheet'!$A$38:$C$42</definedName>
    <definedName name="add_target3">'Radiation budget'!$A$28:$E$32</definedName>
    <definedName name="add_target4">'Radiation budget'!$A$33:$E$37</definedName>
    <definedName name="aden">data!$C$2</definedName>
    <definedName name="att" localSheetId="3">'print sheet'!#REF!</definedName>
    <definedName name="att">'Radiation budget'!$D$12</definedName>
    <definedName name="bud" localSheetId="3">'print sheet'!#REF!</definedName>
    <definedName name="char" localSheetId="3">'print sheet'!$B$2</definedName>
    <definedName name="char">'Radiation budget'!$B$2</definedName>
    <definedName name="critical_dumpline" localSheetId="3">'print sheet'!$A$53:$C$54</definedName>
    <definedName name="critical_dumpline">'Radiation budget'!$A$63:$E$64</definedName>
    <definedName name="cryo_tgt_window" localSheetId="3">'print sheet'!$A$28:$C$32</definedName>
    <definedName name="cryo_tgt_window">'Radiation budget'!$A$38:$E$42</definedName>
    <definedName name="cur" localSheetId="3">'print sheet'!#REF!</definedName>
    <definedName name="cur">'Radiation budget'!$D$7</definedName>
    <definedName name="d">data!$J$5:$J$11</definedName>
    <definedName name="default" localSheetId="3">'print sheet'!$A$5:$C$63</definedName>
    <definedName name="default">'Radiation budget'!$A$5:$E$77</definedName>
    <definedName name="defaultA" localSheetId="2">defaultC!$A$5:$E$77</definedName>
    <definedName name="defaultA">defaultA!$A$5:$E$77</definedName>
    <definedName name="defaultC">defaultC!$A$5:$E$77</definedName>
    <definedName name="density">data1!$K$2:$K$12</definedName>
    <definedName name="dist" localSheetId="3">'print sheet'!#REF!</definedName>
    <definedName name="dist">'Radiation budget'!$D$64</definedName>
    <definedName name="dumpline" localSheetId="3">'print sheet'!$A$48:$C$52</definedName>
    <definedName name="dumpline_nonscatt.">'Radiation budget'!$A$58:$E$62</definedName>
    <definedName name="dumpline_scattering">'Radiation budget'!$A$48:$E$52</definedName>
    <definedName name="e0" localSheetId="3">'print sheet'!#REF!</definedName>
    <definedName name="e0">'Radiation budget'!$D$6</definedName>
    <definedName name="e01_">data!$I$5:$I$11</definedName>
    <definedName name="e02_">data!$K$5:$K$9</definedName>
    <definedName name="ee0">data!$F$5:$F$24</definedName>
    <definedName name="emi">data!$D$2</definedName>
    <definedName name="exit_window" localSheetId="3">'print sheet'!$A$33:$C$37</definedName>
    <definedName name="exit_window">'Radiation budget'!$A$43:$E$47</definedName>
    <definedName name="exp_target1" localSheetId="3">'print sheet'!$A$13:$C$17</definedName>
    <definedName name="exp_target1">'Radiation budget'!$A$13:$E$17</definedName>
    <definedName name="FirstCol" localSheetId="3">'print sheet'!#REF!</definedName>
    <definedName name="FirstCol">'Radiation budget'!$D$5:$D$77</definedName>
    <definedName name="FirstFirst" localSheetId="3">'print sheet'!$A$2</definedName>
    <definedName name="FirstFirst">'Radiation budget'!$A$2</definedName>
    <definedName name="fracscat">'Radiation budget'!$D$65</definedName>
    <definedName name="hmax" localSheetId="3">'print sheet'!#REF!</definedName>
    <definedName name="hmax">'Radiation budget'!$D$70</definedName>
    <definedName name="lam">data!$L$5:$L$9</definedName>
    <definedName name="LastCol" localSheetId="3">'print sheet'!#REF!</definedName>
    <definedName name="LastCol">'Radiation budget'!$E$5:$E$77</definedName>
    <definedName name="LastLast" localSheetId="3">'print sheet'!#REF!</definedName>
    <definedName name="LastLast">'Radiation budget'!$T$77</definedName>
    <definedName name="material">data1!$E$2:$E$27</definedName>
    <definedName name="material1">data1!$I$2:$I$12</definedName>
    <definedName name="ng" localSheetId="3">'print sheet'!#REF!</definedName>
    <definedName name="ng">'Radiation budget'!$E$5</definedName>
    <definedName name="nonscattering_target" localSheetId="3">'print sheet'!$A$43:$C$47</definedName>
    <definedName name="nonscattering_target">'Radiation budget'!$A$53:$E$57</definedName>
    <definedName name="NonUserRows" localSheetId="3">'print sheet'!$10:$12,'print sheet'!$15:$17,'print sheet'!$20:$22,'print sheet'!$25:$27,'print sheet'!$30:$32,'print sheet'!$35:$42,'print sheet'!$50:$54,'print sheet'!$45:$47</definedName>
    <definedName name="nset">'RBM1-6_results'!$A$2:$C$100</definedName>
    <definedName name="OptionButtonKey" localSheetId="3">'print sheet'!$A$1</definedName>
    <definedName name="OptionButtonKey">'Radiation budget'!$A$1</definedName>
    <definedName name="othera">data!$B$11:$B$14</definedName>
    <definedName name="otherb">data!$C$11:$C$14</definedName>
    <definedName name="otherc">data!$D$11:$D$14</definedName>
    <definedName name="pos" localSheetId="3">'print sheet'!#REF!</definedName>
    <definedName name="pos">'Radiation budget'!$D$10</definedName>
    <definedName name="_xlnm.Print_Area" localSheetId="3">'print sheet'!$A$2:$C$55</definedName>
    <definedName name="rad" localSheetId="3">'print sheet'!#REF!</definedName>
    <definedName name="rad">'Radiation budget'!$D$63</definedName>
    <definedName name="radiator" localSheetId="3">'print sheet'!$A$8:$C$12</definedName>
    <definedName name="radiator">'Radiation budget'!$A$8:$E$12</definedName>
    <definedName name="rra">data!$B$5:$B$10</definedName>
    <definedName name="rrb">data!$C$5:$C$10</definedName>
    <definedName name="rrc">data!$D$5:$D$10</definedName>
    <definedName name="scatt_weight_factor">'Radiation budget'!$A$65:$E$65</definedName>
    <definedName name="tni">data!$G$5:$G$24</definedName>
    <definedName name="tt" localSheetId="3">'print sheet'!#REF!</definedName>
    <definedName name="tt">'Radiation budget'!$D$9</definedName>
    <definedName name="Xo">data1!$J$2:$J$12</definedName>
    <definedName name="xtarg">data!$F$2</definedName>
    <definedName name="xthick">data!$A$2</definedName>
    <definedName name="Z_data">data1!$F$2:$F$27</definedName>
    <definedName name="zden">data!$B$2</definedName>
    <definedName name="zz" localSheetId="3">'print sheet'!#REF!</definedName>
    <definedName name="zz">'Radiation budget'!$D$11</definedName>
  </definedNames>
  <calcPr calcId="181029"/>
</workbook>
</file>

<file path=xl/calcChain.xml><?xml version="1.0" encoding="utf-8"?>
<calcChain xmlns="http://schemas.openxmlformats.org/spreadsheetml/2006/main">
  <c r="J27" i="9" l="1"/>
  <c r="J26" i="9"/>
  <c r="I27" i="9"/>
  <c r="I26" i="9"/>
  <c r="H26" i="9"/>
  <c r="D78" i="1"/>
  <c r="D72" i="1"/>
  <c r="D73" i="1" s="1"/>
  <c r="D69" i="1"/>
  <c r="E68" i="1"/>
  <c r="E69" i="1" s="1"/>
  <c r="D67" i="1"/>
  <c r="E66" i="1"/>
  <c r="E67" i="1" s="1"/>
  <c r="D62" i="1"/>
  <c r="D61" i="1"/>
  <c r="D57" i="1"/>
  <c r="D56" i="1"/>
  <c r="D52" i="1"/>
  <c r="D51" i="1"/>
  <c r="D47" i="1"/>
  <c r="D46" i="1"/>
  <c r="D42" i="1"/>
  <c r="D41" i="1"/>
  <c r="D37" i="1"/>
  <c r="D36" i="1"/>
  <c r="D32" i="1"/>
  <c r="D31" i="1"/>
  <c r="D27" i="1"/>
  <c r="D26" i="1"/>
  <c r="D22" i="1"/>
  <c r="D21" i="1"/>
  <c r="D17" i="1"/>
  <c r="D16" i="1"/>
  <c r="D12" i="1"/>
  <c r="D11" i="1"/>
  <c r="D5" i="1"/>
  <c r="AW3" i="1"/>
  <c r="AP3" i="1"/>
  <c r="AL3" i="1"/>
  <c r="AF3" i="1"/>
  <c r="Y3" i="1"/>
  <c r="U3" i="1"/>
  <c r="BB2" i="1"/>
  <c r="AK2" i="1"/>
  <c r="T2" i="1"/>
  <c r="B2" i="1"/>
  <c r="I1" i="1"/>
  <c r="E73" i="1" l="1"/>
  <c r="D74" i="1"/>
  <c r="E74" i="1" s="1"/>
  <c r="I1" i="2"/>
  <c r="B2" i="2"/>
  <c r="T2" i="2"/>
  <c r="AK2" i="2"/>
  <c r="BB2" i="2"/>
  <c r="U3" i="2"/>
  <c r="Y3" i="2"/>
  <c r="AF3" i="2"/>
  <c r="AL3" i="2"/>
  <c r="AP3" i="2"/>
  <c r="AW3" i="2"/>
  <c r="D5" i="2"/>
  <c r="D11" i="2"/>
  <c r="D12" i="2"/>
  <c r="D16" i="2"/>
  <c r="D17" i="2"/>
  <c r="D21" i="2"/>
  <c r="D22" i="2"/>
  <c r="D26" i="2"/>
  <c r="D27" i="2"/>
  <c r="D31" i="2"/>
  <c r="D32" i="2"/>
  <c r="D36" i="2"/>
  <c r="D37" i="2"/>
  <c r="D41" i="2"/>
  <c r="D42" i="2"/>
  <c r="D46" i="2"/>
  <c r="D47" i="2"/>
  <c r="D51" i="2"/>
  <c r="D52" i="2"/>
  <c r="D56" i="2"/>
  <c r="D57" i="2"/>
  <c r="D61" i="2"/>
  <c r="D62" i="2"/>
  <c r="E66" i="2"/>
  <c r="E67" i="2" s="1"/>
  <c r="D67" i="2"/>
  <c r="E68" i="2"/>
  <c r="E69" i="2" s="1"/>
  <c r="D69" i="2"/>
  <c r="D72" i="2"/>
  <c r="D73" i="2"/>
  <c r="E73" i="2"/>
  <c r="D78" i="2"/>
  <c r="I1" i="3"/>
  <c r="B2" i="3"/>
  <c r="T2" i="3"/>
  <c r="AK2" i="3"/>
  <c r="BB2" i="3"/>
  <c r="U3" i="3"/>
  <c r="Y3" i="3"/>
  <c r="AF3" i="3"/>
  <c r="AL3" i="3"/>
  <c r="AP3" i="3"/>
  <c r="AW3" i="3"/>
  <c r="D5" i="3"/>
  <c r="D11" i="3"/>
  <c r="D12" i="3"/>
  <c r="D16" i="3"/>
  <c r="D17" i="3"/>
  <c r="D21" i="3"/>
  <c r="D22" i="3"/>
  <c r="D26" i="3"/>
  <c r="D27" i="3"/>
  <c r="D31" i="3"/>
  <c r="D32" i="3"/>
  <c r="D36" i="3"/>
  <c r="D37" i="3"/>
  <c r="D41" i="3"/>
  <c r="D42" i="3"/>
  <c r="D46" i="3"/>
  <c r="D47" i="3"/>
  <c r="D51" i="3"/>
  <c r="D52" i="3"/>
  <c r="D56" i="3"/>
  <c r="D57" i="3"/>
  <c r="D61" i="3"/>
  <c r="D62" i="3"/>
  <c r="E66" i="3"/>
  <c r="E67" i="3" s="1"/>
  <c r="D67" i="3"/>
  <c r="E68" i="3"/>
  <c r="E69" i="3" s="1"/>
  <c r="D69" i="3"/>
  <c r="D72" i="3"/>
  <c r="D73" i="3"/>
  <c r="E73" i="3"/>
  <c r="D78" i="3"/>
  <c r="D74" i="3"/>
  <c r="E74" i="3"/>
  <c r="D74" i="2"/>
  <c r="E74" i="2"/>
  <c r="E76" i="1" l="1"/>
  <c r="E75" i="1"/>
  <c r="E76" i="2"/>
  <c r="E76" i="3"/>
  <c r="E75" i="2"/>
  <c r="E75" i="3"/>
</calcChain>
</file>

<file path=xl/sharedStrings.xml><?xml version="1.0" encoding="utf-8"?>
<sst xmlns="http://schemas.openxmlformats.org/spreadsheetml/2006/main" count="853" uniqueCount="145">
  <si>
    <t xml:space="preserve"> Hall:  </t>
  </si>
  <si>
    <t>RADIATION   BUDGET   FORM</t>
  </si>
  <si>
    <t xml:space="preserve"> page:</t>
  </si>
  <si>
    <t>Exp. #</t>
  </si>
  <si>
    <t>rev:</t>
  </si>
  <si>
    <t>run dates:</t>
  </si>
  <si>
    <t>name of liaison:</t>
  </si>
  <si>
    <t xml:space="preserve">                 setup number</t>
  </si>
  <si>
    <t>beam</t>
  </si>
  <si>
    <t>energy</t>
  </si>
  <si>
    <t>GeV</t>
  </si>
  <si>
    <t>totals:</t>
  </si>
  <si>
    <t xml:space="preserve">current </t>
  </si>
  <si>
    <t>uA(CW)</t>
  </si>
  <si>
    <t>radiator</t>
  </si>
  <si>
    <t>element</t>
  </si>
  <si>
    <t>Cu</t>
  </si>
  <si>
    <t>thickness</t>
  </si>
  <si>
    <t>mg/cm2</t>
  </si>
  <si>
    <t>dist. to pivot</t>
  </si>
  <si>
    <t>m</t>
  </si>
  <si>
    <t>Z</t>
  </si>
  <si>
    <t>A</t>
  </si>
  <si>
    <t>exp't</t>
  </si>
  <si>
    <t>H</t>
  </si>
  <si>
    <t>C</t>
  </si>
  <si>
    <t>Fe</t>
  </si>
  <si>
    <t>target</t>
  </si>
  <si>
    <t>add'l</t>
  </si>
  <si>
    <t>Si</t>
  </si>
  <si>
    <t>target 1</t>
  </si>
  <si>
    <t>O</t>
  </si>
  <si>
    <t>target 2</t>
  </si>
  <si>
    <t>Al</t>
  </si>
  <si>
    <t>target 3</t>
  </si>
  <si>
    <t>Be</t>
  </si>
  <si>
    <t>target 4</t>
  </si>
  <si>
    <t xml:space="preserve">cryo tgt </t>
  </si>
  <si>
    <t>window</t>
  </si>
  <si>
    <t>exit</t>
  </si>
  <si>
    <t>dumpline</t>
  </si>
  <si>
    <t>He</t>
  </si>
  <si>
    <t>scattering</t>
  </si>
  <si>
    <t>ScLast</t>
  </si>
  <si>
    <t>nonscatt.</t>
  </si>
  <si>
    <t>n/a</t>
  </si>
  <si>
    <t>NonScLast</t>
  </si>
  <si>
    <t>critical</t>
  </si>
  <si>
    <t>radius</t>
  </si>
  <si>
    <t>cm</t>
  </si>
  <si>
    <t>scattering weighting factor</t>
  </si>
  <si>
    <t>run time</t>
  </si>
  <si>
    <t>hours</t>
  </si>
  <si>
    <t xml:space="preserve"> time</t>
  </si>
  <si>
    <t>(100% eff.)</t>
  </si>
  <si>
    <t>days</t>
  </si>
  <si>
    <t>installation</t>
  </si>
  <si>
    <t>time</t>
  </si>
  <si>
    <t>dose rate at</t>
  </si>
  <si>
    <t>method 1</t>
  </si>
  <si>
    <t>urem/hr</t>
  </si>
  <si>
    <t>the fence post</t>
  </si>
  <si>
    <t>method 2</t>
  </si>
  <si>
    <t>(run time)</t>
  </si>
  <si>
    <t>conservative</t>
  </si>
  <si>
    <t>dose per setup</t>
  </si>
  <si>
    <t>urem</t>
  </si>
  <si>
    <t>% of annual dose budget</t>
  </si>
  <si>
    <t>%</t>
  </si>
  <si>
    <t>% of allowed dose for the total time</t>
  </si>
  <si>
    <t>% of allowed dose for the run time only</t>
  </si>
  <si>
    <t>If &gt; 200%, discuss result with Physics Research EH&amp;S officer</t>
  </si>
  <si>
    <t>date form issued:</t>
  </si>
  <si>
    <t>authors:</t>
  </si>
  <si>
    <t>P.Degtiarenko</t>
  </si>
  <si>
    <t>Please, wait</t>
  </si>
  <si>
    <t xml:space="preserve"> Exx-xxx</t>
  </si>
  <si>
    <t>1997-98</t>
  </si>
  <si>
    <t>A.N.Experimenter</t>
  </si>
  <si>
    <t>D</t>
  </si>
  <si>
    <t>P Degtyarenko, R Royenko</t>
  </si>
  <si>
    <t>RBM1:6 results:</t>
  </si>
  <si>
    <t>This sheet results are given in the same format as ELEC5.FORTRAN's</t>
  </si>
  <si>
    <t>The sheet was created to test this program</t>
  </si>
  <si>
    <r>
      <t xml:space="preserve">Make yourself shure, the button </t>
    </r>
    <r>
      <rPr>
        <b/>
        <sz val="10"/>
        <rFont val="Arial"/>
        <family val="2"/>
      </rPr>
      <t>CALCULATE</t>
    </r>
    <r>
      <rPr>
        <i/>
        <sz val="10"/>
        <rFont val="Arial"/>
        <family val="2"/>
      </rPr>
      <t xml:space="preserve"> was pressed at least onse in this program</t>
    </r>
  </si>
  <si>
    <t>xthick</t>
  </si>
  <si>
    <t>zden</t>
  </si>
  <si>
    <t>aden</t>
  </si>
  <si>
    <t>emi</t>
  </si>
  <si>
    <t>xtarg ?</t>
  </si>
  <si>
    <t>?</t>
  </si>
  <si>
    <t>(hidden)</t>
  </si>
  <si>
    <t>rra</t>
  </si>
  <si>
    <t>rrb</t>
  </si>
  <si>
    <t>rrc</t>
  </si>
  <si>
    <t>ee0</t>
  </si>
  <si>
    <t>tni</t>
  </si>
  <si>
    <t>e01</t>
  </si>
  <si>
    <t>d</t>
  </si>
  <si>
    <t>e02</t>
  </si>
  <si>
    <t>lam</t>
  </si>
  <si>
    <t>RBM 3</t>
  </si>
  <si>
    <t>RBM 2</t>
  </si>
  <si>
    <t>RBM  1</t>
  </si>
  <si>
    <t>RBM 4</t>
  </si>
  <si>
    <t>RBM 5</t>
  </si>
  <si>
    <t>RBM 6</t>
  </si>
  <si>
    <t>b</t>
  </si>
  <si>
    <t>tr</t>
  </si>
  <si>
    <t>td</t>
  </si>
  <si>
    <t>ri</t>
  </si>
  <si>
    <t>Hall</t>
  </si>
  <si>
    <t>material</t>
  </si>
  <si>
    <t>Z_data</t>
  </si>
  <si>
    <t>A_data</t>
  </si>
  <si>
    <t>material 1</t>
  </si>
  <si>
    <t>Xo</t>
  </si>
  <si>
    <t>density</t>
  </si>
  <si>
    <t xml:space="preserve"> </t>
  </si>
  <si>
    <t>He[3]</t>
  </si>
  <si>
    <t>Li</t>
  </si>
  <si>
    <t>Au</t>
  </si>
  <si>
    <t>N</t>
  </si>
  <si>
    <t>Ti</t>
  </si>
  <si>
    <t xml:space="preserve">N[15] </t>
  </si>
  <si>
    <t>BeO</t>
  </si>
  <si>
    <t>CH2</t>
  </si>
  <si>
    <t>Ne</t>
  </si>
  <si>
    <t>g/cm2</t>
  </si>
  <si>
    <t>g/cm3</t>
  </si>
  <si>
    <t>Ar</t>
  </si>
  <si>
    <t>Ge</t>
  </si>
  <si>
    <t>Xe</t>
  </si>
  <si>
    <t>W</t>
  </si>
  <si>
    <t>Pt</t>
  </si>
  <si>
    <t>Pb</t>
  </si>
  <si>
    <t>U</t>
  </si>
  <si>
    <t>GEn</t>
  </si>
  <si>
    <t>E12-09-016</t>
  </si>
  <si>
    <t>He-3</t>
  </si>
  <si>
    <t>TBD</t>
  </si>
  <si>
    <t>1 of 1</t>
  </si>
  <si>
    <t>2 of 1</t>
  </si>
  <si>
    <t>3 of 1</t>
  </si>
  <si>
    <t>Todd Averett, Eric Fuchey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</si>
</sst>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mmmm\ d\,\ yyyy"/>
  </numFmts>
  <fonts count="46">
    <font>
      <sz val="10"/>
      <name val="Arial"/>
    </font>
    <font>
      <b/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Geneva"/>
      <family val="2"/>
    </font>
    <font>
      <b/>
      <u/>
      <sz val="14"/>
      <name val="Tms Rmn"/>
    </font>
    <font>
      <b/>
      <sz val="14"/>
      <name val="Tms Rmn"/>
    </font>
    <font>
      <b/>
      <u/>
      <sz val="18"/>
      <name val="Tms Rmn"/>
    </font>
    <font>
      <b/>
      <sz val="12"/>
      <name val="Geneva"/>
      <family val="2"/>
    </font>
    <font>
      <b/>
      <sz val="12"/>
      <name val="Tms Rmn"/>
    </font>
    <font>
      <sz val="12"/>
      <name val="Tms Rmn"/>
    </font>
    <font>
      <sz val="10"/>
      <name val="Tms Rmn"/>
    </font>
    <font>
      <sz val="9"/>
      <name val="Geneva"/>
      <family val="2"/>
    </font>
    <font>
      <i/>
      <sz val="10"/>
      <name val="Geneva"/>
      <family val="2"/>
    </font>
    <font>
      <b/>
      <sz val="14"/>
      <name val="Geneva"/>
      <family val="2"/>
    </font>
    <font>
      <b/>
      <sz val="12"/>
      <color indexed="9"/>
      <name val="Tms Rmn"/>
    </font>
    <font>
      <b/>
      <sz val="12"/>
      <color indexed="22"/>
      <name val="Tms Rmn"/>
    </font>
    <font>
      <b/>
      <sz val="10"/>
      <name val="Tms Rmn"/>
    </font>
    <font>
      <sz val="10"/>
      <color indexed="9"/>
      <name val="Geneva"/>
      <family val="2"/>
    </font>
    <font>
      <sz val="11"/>
      <name val="Times New Roman"/>
      <family val="1"/>
    </font>
    <font>
      <b/>
      <sz val="11"/>
      <name val="Tms Rmn"/>
    </font>
    <font>
      <b/>
      <sz val="11"/>
      <color indexed="9"/>
      <name val="Tms Rmn"/>
    </font>
    <font>
      <sz val="11"/>
      <name val="Geneva"/>
      <family val="2"/>
    </font>
    <font>
      <b/>
      <sz val="14"/>
      <color indexed="9"/>
      <name val="Tms Rmn"/>
    </font>
    <font>
      <b/>
      <sz val="10"/>
      <name val="Arial"/>
      <family val="2"/>
    </font>
    <font>
      <sz val="11"/>
      <name val="Times New Roman"/>
      <family val="1"/>
    </font>
    <font>
      <b/>
      <i/>
      <sz val="11"/>
      <name val="Times New Roman"/>
      <family val="1"/>
    </font>
    <font>
      <sz val="12"/>
      <name val="Times New Roman"/>
      <family val="1"/>
    </font>
    <font>
      <u/>
      <sz val="12"/>
      <name val="Tms Rmn"/>
    </font>
    <font>
      <sz val="12"/>
      <name val="Geneva"/>
      <family val="2"/>
    </font>
    <font>
      <sz val="10"/>
      <name val="Arial"/>
      <family val="2"/>
    </font>
    <font>
      <i/>
      <u/>
      <sz val="12"/>
      <name val="Tms Rmn"/>
    </font>
    <font>
      <sz val="12"/>
      <name val="Arial"/>
      <family val="2"/>
    </font>
    <font>
      <i/>
      <sz val="12"/>
      <name val="Geneva"/>
      <family val="2"/>
    </font>
    <font>
      <sz val="18"/>
      <color indexed="57"/>
      <name val="Brush Script MT"/>
      <family val="4"/>
    </font>
    <font>
      <sz val="18"/>
      <color indexed="57"/>
      <name val="Geneva"/>
      <family val="2"/>
    </font>
    <font>
      <i/>
      <sz val="10"/>
      <name val="Arial"/>
      <family val="2"/>
    </font>
    <font>
      <sz val="12"/>
      <color indexed="9"/>
      <name val="Times New Roman"/>
      <family val="1"/>
    </font>
    <font>
      <vertAlign val="subscript"/>
      <sz val="8"/>
      <color indexed="9"/>
      <name val="Times New Roman"/>
      <family val="1"/>
    </font>
    <font>
      <vertAlign val="subscript"/>
      <sz val="8"/>
      <color indexed="9"/>
      <name val="Geneva"/>
      <family val="2"/>
    </font>
    <font>
      <vertAlign val="subscript"/>
      <sz val="8"/>
      <color indexed="9"/>
      <name val="Tms Rmn"/>
    </font>
    <font>
      <i/>
      <sz val="10"/>
      <name val="Times New Roman"/>
      <family val="1"/>
    </font>
    <font>
      <sz val="8"/>
      <name val="Tahoma"/>
      <family val="2"/>
    </font>
    <font>
      <sz val="10"/>
      <color rgb="FF000000"/>
      <name val="Arial"/>
      <family val="2"/>
    </font>
    <font>
      <b/>
      <sz val="10"/>
      <name val="Geneva"/>
      <family val="2"/>
    </font>
    <font>
      <sz val="8"/>
      <color rgb="FF000000"/>
      <name val="Segoe UI"/>
      <charset val="1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gray125"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468">
    <xf numFmtId="0" fontId="0" fillId="0" borderId="0" xfId="0"/>
    <xf numFmtId="0" fontId="0" fillId="0" borderId="0" xfId="0" applyNumberFormat="1"/>
    <xf numFmtId="0" fontId="1" fillId="2" borderId="0" xfId="0" applyFont="1" applyFill="1"/>
    <xf numFmtId="0" fontId="0" fillId="0" borderId="0" xfId="0" applyBorder="1"/>
    <xf numFmtId="0" fontId="0" fillId="0" borderId="0" xfId="0" applyNumberForma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5" xfId="0" applyFill="1" applyBorder="1"/>
    <xf numFmtId="0" fontId="1" fillId="2" borderId="6" xfId="0" applyFont="1" applyFill="1" applyBorder="1"/>
    <xf numFmtId="0" fontId="1" fillId="2" borderId="5" xfId="0" applyFont="1" applyFill="1" applyBorder="1"/>
    <xf numFmtId="0" fontId="0" fillId="0" borderId="7" xfId="0" applyBorder="1"/>
    <xf numFmtId="0" fontId="0" fillId="0" borderId="8" xfId="0" applyBorder="1"/>
    <xf numFmtId="11" fontId="0" fillId="0" borderId="1" xfId="0" applyNumberFormat="1" applyBorder="1"/>
    <xf numFmtId="0" fontId="1" fillId="2" borderId="4" xfId="0" applyNumberFormat="1" applyFont="1" applyFill="1" applyBorder="1"/>
    <xf numFmtId="0" fontId="1" fillId="2" borderId="5" xfId="0" applyNumberFormat="1" applyFont="1" applyFill="1" applyBorder="1"/>
    <xf numFmtId="0" fontId="3" fillId="2" borderId="7" xfId="0" applyFont="1" applyFill="1" applyBorder="1"/>
    <xf numFmtId="0" fontId="3" fillId="2" borderId="7" xfId="0" applyFont="1" applyFill="1" applyBorder="1" applyAlignment="1"/>
    <xf numFmtId="0" fontId="0" fillId="0" borderId="1" xfId="0" applyNumberFormat="1" applyBorder="1"/>
    <xf numFmtId="0" fontId="3" fillId="2" borderId="8" xfId="0" applyFont="1" applyFill="1" applyBorder="1"/>
    <xf numFmtId="0" fontId="2" fillId="2" borderId="6" xfId="0" applyFont="1" applyFill="1" applyBorder="1"/>
    <xf numFmtId="0" fontId="0" fillId="0" borderId="4" xfId="0" applyBorder="1"/>
    <xf numFmtId="0" fontId="0" fillId="0" borderId="5" xfId="0" applyBorder="1"/>
    <xf numFmtId="0" fontId="0" fillId="2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11" fontId="0" fillId="0" borderId="3" xfId="0" applyNumberFormat="1" applyBorder="1"/>
    <xf numFmtId="0" fontId="4" fillId="0" borderId="0" xfId="1"/>
    <xf numFmtId="0" fontId="4" fillId="0" borderId="0" xfId="1" applyBorder="1"/>
    <xf numFmtId="0" fontId="9" fillId="0" borderId="9" xfId="1" applyFont="1" applyBorder="1"/>
    <xf numFmtId="2" fontId="9" fillId="0" borderId="10" xfId="1" applyNumberFormat="1" applyFont="1" applyBorder="1"/>
    <xf numFmtId="164" fontId="9" fillId="0" borderId="10" xfId="1" applyNumberFormat="1" applyFont="1" applyBorder="1"/>
    <xf numFmtId="0" fontId="9" fillId="0" borderId="11" xfId="1" applyFont="1" applyBorder="1" applyAlignment="1">
      <alignment horizontal="center"/>
    </xf>
    <xf numFmtId="164" fontId="9" fillId="0" borderId="11" xfId="1" applyNumberFormat="1" applyFont="1" applyBorder="1" applyAlignment="1">
      <alignment horizontal="center"/>
    </xf>
    <xf numFmtId="164" fontId="9" fillId="0" borderId="11" xfId="1" applyNumberFormat="1" applyFont="1" applyFill="1" applyBorder="1" applyAlignment="1">
      <alignment horizontal="center"/>
    </xf>
    <xf numFmtId="0" fontId="9" fillId="0" borderId="12" xfId="1" applyFont="1" applyBorder="1" applyAlignment="1">
      <alignment horizontal="center"/>
    </xf>
    <xf numFmtId="2" fontId="9" fillId="3" borderId="13" xfId="1" applyNumberFormat="1" applyFont="1" applyFill="1" applyBorder="1"/>
    <xf numFmtId="1" fontId="9" fillId="2" borderId="10" xfId="1" applyNumberFormat="1" applyFont="1" applyFill="1" applyBorder="1"/>
    <xf numFmtId="1" fontId="9" fillId="0" borderId="10" xfId="1" applyNumberFormat="1" applyFont="1" applyBorder="1"/>
    <xf numFmtId="1" fontId="9" fillId="0" borderId="13" xfId="1" applyNumberFormat="1" applyFont="1" applyBorder="1"/>
    <xf numFmtId="164" fontId="9" fillId="0" borderId="9" xfId="1" applyNumberFormat="1" applyFont="1" applyBorder="1"/>
    <xf numFmtId="1" fontId="9" fillId="0" borderId="9" xfId="1" applyNumberFormat="1" applyFont="1" applyBorder="1"/>
    <xf numFmtId="164" fontId="9" fillId="2" borderId="10" xfId="1" applyNumberFormat="1" applyFont="1" applyFill="1" applyBorder="1" applyAlignment="1">
      <alignment horizontal="center"/>
    </xf>
    <xf numFmtId="0" fontId="4" fillId="4" borderId="0" xfId="1" applyFont="1" applyFill="1"/>
    <xf numFmtId="1" fontId="9" fillId="0" borderId="14" xfId="1" applyNumberFormat="1" applyFont="1" applyBorder="1"/>
    <xf numFmtId="2" fontId="9" fillId="5" borderId="9" xfId="1" applyNumberFormat="1" applyFont="1" applyFill="1" applyBorder="1"/>
    <xf numFmtId="2" fontId="17" fillId="5" borderId="10" xfId="1" applyNumberFormat="1" applyFont="1" applyFill="1" applyBorder="1"/>
    <xf numFmtId="165" fontId="9" fillId="5" borderId="13" xfId="1" applyNumberFormat="1" applyFont="1" applyFill="1" applyBorder="1"/>
    <xf numFmtId="0" fontId="10" fillId="2" borderId="15" xfId="1" applyFont="1" applyFill="1" applyBorder="1"/>
    <xf numFmtId="0" fontId="10" fillId="2" borderId="16" xfId="1" applyFont="1" applyFill="1" applyBorder="1"/>
    <xf numFmtId="0" fontId="0" fillId="2" borderId="16" xfId="0" applyFill="1" applyBorder="1"/>
    <xf numFmtId="0" fontId="0" fillId="2" borderId="17" xfId="0" applyFill="1" applyBorder="1"/>
    <xf numFmtId="1" fontId="9" fillId="0" borderId="18" xfId="1" applyNumberFormat="1" applyFont="1" applyBorder="1"/>
    <xf numFmtId="1" fontId="9" fillId="0" borderId="19" xfId="1" applyNumberFormat="1" applyFont="1" applyBorder="1"/>
    <xf numFmtId="0" fontId="0" fillId="0" borderId="20" xfId="0" applyBorder="1"/>
    <xf numFmtId="0" fontId="0" fillId="0" borderId="21" xfId="0" applyBorder="1"/>
    <xf numFmtId="0" fontId="3" fillId="0" borderId="22" xfId="0" applyFont="1" applyBorder="1"/>
    <xf numFmtId="0" fontId="4" fillId="6" borderId="0" xfId="1" applyFill="1"/>
    <xf numFmtId="0" fontId="4" fillId="6" borderId="0" xfId="1" applyFill="1" applyBorder="1"/>
    <xf numFmtId="0" fontId="6" fillId="6" borderId="0" xfId="1" applyFont="1" applyFill="1" applyBorder="1"/>
    <xf numFmtId="0" fontId="5" fillId="6" borderId="0" xfId="1" applyFont="1" applyFill="1" applyBorder="1"/>
    <xf numFmtId="0" fontId="0" fillId="6" borderId="0" xfId="0" applyFill="1" applyBorder="1"/>
    <xf numFmtId="0" fontId="8" fillId="6" borderId="0" xfId="1" applyFont="1" applyFill="1" applyBorder="1"/>
    <xf numFmtId="0" fontId="1" fillId="6" borderId="0" xfId="0" applyFont="1" applyFill="1" applyBorder="1" applyAlignment="1"/>
    <xf numFmtId="164" fontId="9" fillId="6" borderId="0" xfId="1" applyNumberFormat="1" applyFont="1" applyFill="1" applyBorder="1"/>
    <xf numFmtId="0" fontId="4" fillId="2" borderId="23" xfId="1" applyFill="1" applyBorder="1"/>
    <xf numFmtId="0" fontId="4" fillId="2" borderId="24" xfId="1" applyFill="1" applyBorder="1"/>
    <xf numFmtId="0" fontId="10" fillId="6" borderId="0" xfId="1" applyFont="1" applyFill="1" applyBorder="1"/>
    <xf numFmtId="0" fontId="9" fillId="6" borderId="0" xfId="1" applyFont="1" applyFill="1" applyBorder="1" applyAlignment="1">
      <alignment horizontal="center"/>
    </xf>
    <xf numFmtId="2" fontId="9" fillId="6" borderId="0" xfId="1" applyNumberFormat="1" applyFont="1" applyFill="1" applyBorder="1"/>
    <xf numFmtId="165" fontId="9" fillId="6" borderId="0" xfId="1" applyNumberFormat="1" applyFont="1" applyFill="1" applyBorder="1"/>
    <xf numFmtId="0" fontId="9" fillId="6" borderId="0" xfId="1" applyFont="1" applyFill="1" applyBorder="1"/>
    <xf numFmtId="164" fontId="9" fillId="6" borderId="0" xfId="1" applyNumberFormat="1" applyFont="1" applyFill="1" applyBorder="1" applyAlignment="1">
      <alignment horizontal="center"/>
    </xf>
    <xf numFmtId="0" fontId="10" fillId="6" borderId="0" xfId="1" applyFont="1" applyFill="1" applyBorder="1" applyAlignment="1">
      <alignment horizontal="center"/>
    </xf>
    <xf numFmtId="1" fontId="9" fillId="6" borderId="0" xfId="1" applyNumberFormat="1" applyFont="1" applyFill="1" applyBorder="1" applyAlignment="1">
      <alignment horizontal="center"/>
    </xf>
    <xf numFmtId="0" fontId="9" fillId="6" borderId="0" xfId="1" applyNumberFormat="1" applyFont="1" applyFill="1" applyBorder="1"/>
    <xf numFmtId="0" fontId="0" fillId="6" borderId="0" xfId="0" applyFill="1"/>
    <xf numFmtId="1" fontId="9" fillId="6" borderId="0" xfId="1" applyNumberFormat="1" applyFont="1" applyFill="1" applyBorder="1"/>
    <xf numFmtId="2" fontId="9" fillId="6" borderId="0" xfId="1" applyNumberFormat="1" applyFont="1" applyFill="1" applyBorder="1" applyAlignment="1">
      <alignment horizontal="center"/>
    </xf>
    <xf numFmtId="0" fontId="13" fillId="6" borderId="0" xfId="1" applyFont="1" applyFill="1" applyBorder="1"/>
    <xf numFmtId="164" fontId="10" fillId="6" borderId="0" xfId="1" applyNumberFormat="1" applyFont="1" applyFill="1" applyBorder="1"/>
    <xf numFmtId="11" fontId="11" fillId="6" borderId="0" xfId="1" applyNumberFormat="1" applyFont="1" applyFill="1" applyBorder="1"/>
    <xf numFmtId="14" fontId="12" fillId="6" borderId="0" xfId="1" applyNumberFormat="1" applyFont="1" applyFill="1" applyBorder="1"/>
    <xf numFmtId="0" fontId="6" fillId="6" borderId="25" xfId="1" applyFont="1" applyFill="1" applyBorder="1"/>
    <xf numFmtId="0" fontId="6" fillId="6" borderId="26" xfId="1" applyFont="1" applyFill="1" applyBorder="1"/>
    <xf numFmtId="0" fontId="9" fillId="3" borderId="27" xfId="1" applyFont="1" applyFill="1" applyBorder="1"/>
    <xf numFmtId="0" fontId="6" fillId="6" borderId="0" xfId="1" applyFont="1" applyFill="1" applyBorder="1" applyAlignment="1">
      <alignment horizontal="center"/>
    </xf>
    <xf numFmtId="0" fontId="11" fillId="6" borderId="0" xfId="1" applyFont="1" applyFill="1" applyBorder="1"/>
    <xf numFmtId="164" fontId="15" fillId="6" borderId="0" xfId="1" applyNumberFormat="1" applyFont="1" applyFill="1" applyBorder="1" applyAlignment="1">
      <alignment horizontal="center"/>
    </xf>
    <xf numFmtId="0" fontId="15" fillId="6" borderId="0" xfId="1" applyFont="1" applyFill="1" applyBorder="1"/>
    <xf numFmtId="0" fontId="18" fillId="6" borderId="0" xfId="1" applyFont="1" applyFill="1" applyBorder="1"/>
    <xf numFmtId="0" fontId="18" fillId="6" borderId="0" xfId="1" applyFont="1" applyFill="1"/>
    <xf numFmtId="0" fontId="2" fillId="0" borderId="22" xfId="0" applyFont="1" applyBorder="1"/>
    <xf numFmtId="0" fontId="2" fillId="0" borderId="20" xfId="0" applyFont="1" applyBorder="1"/>
    <xf numFmtId="0" fontId="2" fillId="0" borderId="21" xfId="0" applyFont="1" applyBorder="1"/>
    <xf numFmtId="0" fontId="10" fillId="0" borderId="10" xfId="1" applyFont="1" applyBorder="1"/>
    <xf numFmtId="0" fontId="10" fillId="0" borderId="10" xfId="1" applyFont="1" applyFill="1" applyBorder="1"/>
    <xf numFmtId="0" fontId="6" fillId="6" borderId="4" xfId="1" applyFont="1" applyFill="1" applyBorder="1"/>
    <xf numFmtId="0" fontId="7" fillId="6" borderId="4" xfId="1" applyFont="1" applyFill="1" applyBorder="1"/>
    <xf numFmtId="0" fontId="4" fillId="6" borderId="4" xfId="1" applyFill="1" applyBorder="1"/>
    <xf numFmtId="2" fontId="9" fillId="5" borderId="10" xfId="1" applyNumberFormat="1" applyFont="1" applyFill="1" applyBorder="1"/>
    <xf numFmtId="2" fontId="9" fillId="3" borderId="10" xfId="1" applyNumberFormat="1" applyFont="1" applyFill="1" applyBorder="1" applyAlignment="1">
      <alignment horizontal="center"/>
    </xf>
    <xf numFmtId="0" fontId="10" fillId="2" borderId="10" xfId="1" applyFont="1" applyFill="1" applyBorder="1"/>
    <xf numFmtId="0" fontId="10" fillId="2" borderId="28" xfId="1" applyFont="1" applyFill="1" applyBorder="1"/>
    <xf numFmtId="0" fontId="11" fillId="0" borderId="14" xfId="1" applyFont="1" applyBorder="1"/>
    <xf numFmtId="0" fontId="11" fillId="2" borderId="14" xfId="1" applyFont="1" applyFill="1" applyBorder="1"/>
    <xf numFmtId="0" fontId="11" fillId="2" borderId="29" xfId="1" applyFont="1" applyFill="1" applyBorder="1"/>
    <xf numFmtId="0" fontId="11" fillId="0" borderId="18" xfId="1" applyFont="1" applyBorder="1"/>
    <xf numFmtId="0" fontId="11" fillId="0" borderId="19" xfId="1" applyFont="1" applyBorder="1"/>
    <xf numFmtId="0" fontId="19" fillId="0" borderId="9" xfId="1" applyFont="1" applyFill="1" applyBorder="1" applyAlignment="1">
      <alignment horizontal="left"/>
    </xf>
    <xf numFmtId="0" fontId="19" fillId="0" borderId="10" xfId="1" applyFont="1" applyBorder="1" applyAlignment="1">
      <alignment horizontal="left"/>
    </xf>
    <xf numFmtId="0" fontId="19" fillId="0" borderId="30" xfId="0" applyFont="1" applyBorder="1" applyAlignment="1">
      <alignment horizontal="centerContinuous" wrapText="1"/>
    </xf>
    <xf numFmtId="0" fontId="4" fillId="6" borderId="3" xfId="1" applyFill="1" applyBorder="1"/>
    <xf numFmtId="0" fontId="19" fillId="0" borderId="11" xfId="1" applyFont="1" applyBorder="1" applyAlignment="1">
      <alignment horizontal="left"/>
    </xf>
    <xf numFmtId="0" fontId="6" fillId="6" borderId="8" xfId="1" applyFont="1" applyFill="1" applyBorder="1"/>
    <xf numFmtId="0" fontId="4" fillId="6" borderId="2" xfId="1" applyFill="1" applyBorder="1"/>
    <xf numFmtId="0" fontId="6" fillId="6" borderId="2" xfId="1" applyFont="1" applyFill="1" applyBorder="1"/>
    <xf numFmtId="0" fontId="6" fillId="6" borderId="6" xfId="1" applyFont="1" applyFill="1" applyBorder="1" applyAlignment="1">
      <alignment horizontal="right"/>
    </xf>
    <xf numFmtId="0" fontId="0" fillId="6" borderId="4" xfId="0" applyFill="1" applyBorder="1"/>
    <xf numFmtId="0" fontId="4" fillId="1" borderId="1" xfId="1" applyFill="1" applyBorder="1"/>
    <xf numFmtId="1" fontId="16" fillId="2" borderId="31" xfId="1" applyNumberFormat="1" applyFont="1" applyFill="1" applyBorder="1"/>
    <xf numFmtId="0" fontId="16" fillId="2" borderId="23" xfId="1" applyFont="1" applyFill="1" applyBorder="1" applyAlignment="1">
      <alignment horizontal="left"/>
    </xf>
    <xf numFmtId="1" fontId="15" fillId="6" borderId="5" xfId="1" applyNumberFormat="1" applyFont="1" applyFill="1" applyBorder="1" applyAlignment="1" applyProtection="1">
      <alignment horizontal="center"/>
    </xf>
    <xf numFmtId="164" fontId="9" fillId="5" borderId="32" xfId="1" applyNumberFormat="1" applyFont="1" applyFill="1" applyBorder="1" applyAlignment="1">
      <alignment wrapText="1"/>
    </xf>
    <xf numFmtId="164" fontId="17" fillId="5" borderId="29" xfId="1" applyNumberFormat="1" applyFont="1" applyFill="1" applyBorder="1"/>
    <xf numFmtId="164" fontId="9" fillId="5" borderId="26" xfId="1" applyNumberFormat="1" applyFont="1" applyFill="1" applyBorder="1"/>
    <xf numFmtId="2" fontId="9" fillId="7" borderId="10" xfId="1" applyNumberFormat="1" applyFont="1" applyFill="1" applyBorder="1"/>
    <xf numFmtId="164" fontId="9" fillId="7" borderId="10" xfId="1" applyNumberFormat="1" applyFont="1" applyFill="1" applyBorder="1"/>
    <xf numFmtId="0" fontId="9" fillId="7" borderId="10" xfId="1" applyNumberFormat="1" applyFont="1" applyFill="1" applyBorder="1"/>
    <xf numFmtId="164" fontId="9" fillId="7" borderId="10" xfId="1" applyNumberFormat="1" applyFont="1" applyFill="1" applyBorder="1" applyAlignment="1">
      <alignment horizontal="center"/>
    </xf>
    <xf numFmtId="0" fontId="9" fillId="7" borderId="10" xfId="1" applyFont="1" applyFill="1" applyBorder="1"/>
    <xf numFmtId="0" fontId="6" fillId="6" borderId="7" xfId="1" applyFont="1" applyFill="1" applyBorder="1" applyAlignment="1">
      <alignment horizontal="right"/>
    </xf>
    <xf numFmtId="0" fontId="10" fillId="6" borderId="28" xfId="1" applyFont="1" applyFill="1" applyBorder="1"/>
    <xf numFmtId="0" fontId="11" fillId="6" borderId="29" xfId="1" applyFont="1" applyFill="1" applyBorder="1"/>
    <xf numFmtId="0" fontId="13" fillId="7" borderId="0" xfId="1" applyFont="1" applyFill="1"/>
    <xf numFmtId="0" fontId="6" fillId="6" borderId="4" xfId="1" applyFont="1" applyFill="1" applyBorder="1" applyAlignment="1">
      <alignment horizontal="right"/>
    </xf>
    <xf numFmtId="0" fontId="6" fillId="6" borderId="4" xfId="1" applyFont="1" applyFill="1" applyBorder="1" applyAlignment="1">
      <alignment horizontal="left"/>
    </xf>
    <xf numFmtId="14" fontId="4" fillId="6" borderId="0" xfId="1" applyNumberFormat="1" applyFont="1" applyFill="1" applyBorder="1"/>
    <xf numFmtId="166" fontId="12" fillId="6" borderId="0" xfId="1" applyNumberFormat="1" applyFont="1" applyFill="1" applyAlignment="1">
      <alignment horizontal="centerContinuous"/>
    </xf>
    <xf numFmtId="0" fontId="6" fillId="6" borderId="0" xfId="1" applyFont="1" applyFill="1" applyBorder="1" applyAlignment="1">
      <alignment horizontal="right"/>
    </xf>
    <xf numFmtId="0" fontId="20" fillId="5" borderId="29" xfId="1" applyNumberFormat="1" applyFont="1" applyFill="1" applyBorder="1"/>
    <xf numFmtId="0" fontId="14" fillId="6" borderId="4" xfId="1" applyFont="1" applyFill="1" applyBorder="1" applyAlignment="1">
      <alignment horizontal="left"/>
    </xf>
    <xf numFmtId="0" fontId="4" fillId="6" borderId="32" xfId="1" applyNumberFormat="1" applyFill="1" applyBorder="1" applyAlignment="1">
      <alignment horizontal="center"/>
    </xf>
    <xf numFmtId="0" fontId="10" fillId="6" borderId="33" xfId="1" applyNumberFormat="1" applyFont="1" applyFill="1" applyBorder="1" applyAlignment="1">
      <alignment horizontal="centerContinuous"/>
    </xf>
    <xf numFmtId="0" fontId="10" fillId="6" borderId="30" xfId="1" applyNumberFormat="1" applyFont="1" applyFill="1" applyBorder="1" applyAlignment="1">
      <alignment horizontal="centerContinuous"/>
    </xf>
    <xf numFmtId="0" fontId="6" fillId="6" borderId="2" xfId="1" applyFont="1" applyFill="1" applyBorder="1" applyAlignment="1">
      <alignment horizontal="centerContinuous"/>
    </xf>
    <xf numFmtId="0" fontId="13" fillId="6" borderId="0" xfId="1" applyFont="1" applyFill="1"/>
    <xf numFmtId="0" fontId="4" fillId="6" borderId="0" xfId="1" applyFont="1" applyFill="1" applyBorder="1"/>
    <xf numFmtId="0" fontId="23" fillId="6" borderId="0" xfId="1" applyFont="1" applyFill="1" applyBorder="1" applyAlignment="1">
      <alignment horizontal="center"/>
    </xf>
    <xf numFmtId="0" fontId="10" fillId="2" borderId="17" xfId="1" applyFont="1" applyFill="1" applyBorder="1"/>
    <xf numFmtId="165" fontId="9" fillId="0" borderId="18" xfId="1" applyNumberFormat="1" applyFont="1" applyBorder="1"/>
    <xf numFmtId="164" fontId="9" fillId="0" borderId="14" xfId="1" applyNumberFormat="1" applyFont="1" applyBorder="1"/>
    <xf numFmtId="165" fontId="9" fillId="0" borderId="14" xfId="1" applyNumberFormat="1" applyFont="1" applyBorder="1"/>
    <xf numFmtId="2" fontId="9" fillId="0" borderId="14" xfId="1" applyNumberFormat="1" applyFont="1" applyBorder="1"/>
    <xf numFmtId="11" fontId="11" fillId="0" borderId="14" xfId="1" applyNumberFormat="1" applyFont="1" applyBorder="1"/>
    <xf numFmtId="2" fontId="9" fillId="0" borderId="19" xfId="1" applyNumberFormat="1" applyFont="1" applyBorder="1"/>
    <xf numFmtId="0" fontId="10" fillId="0" borderId="34" xfId="1" applyFont="1" applyBorder="1"/>
    <xf numFmtId="0" fontId="10" fillId="0" borderId="35" xfId="1" applyFont="1" applyBorder="1"/>
    <xf numFmtId="0" fontId="10" fillId="0" borderId="36" xfId="1" applyFont="1" applyBorder="1"/>
    <xf numFmtId="164" fontId="9" fillId="0" borderId="12" xfId="1" applyNumberFormat="1" applyFont="1" applyBorder="1" applyAlignment="1">
      <alignment horizontal="center"/>
    </xf>
    <xf numFmtId="164" fontId="9" fillId="0" borderId="0" xfId="1" applyNumberFormat="1" applyFont="1" applyBorder="1" applyAlignment="1">
      <alignment horizontal="center"/>
    </xf>
    <xf numFmtId="1" fontId="9" fillId="0" borderId="0" xfId="1" applyNumberFormat="1" applyFont="1" applyBorder="1"/>
    <xf numFmtId="164" fontId="9" fillId="0" borderId="37" xfId="1" applyNumberFormat="1" applyFont="1" applyBorder="1" applyAlignment="1">
      <alignment horizontal="center"/>
    </xf>
    <xf numFmtId="0" fontId="9" fillId="6" borderId="15" xfId="1" applyFont="1" applyFill="1" applyBorder="1"/>
    <xf numFmtId="0" fontId="24" fillId="6" borderId="16" xfId="0" applyFont="1" applyFill="1" applyBorder="1"/>
    <xf numFmtId="0" fontId="24" fillId="6" borderId="17" xfId="0" applyFont="1" applyFill="1" applyBorder="1"/>
    <xf numFmtId="0" fontId="9" fillId="6" borderId="38" xfId="1" applyFont="1" applyFill="1" applyBorder="1"/>
    <xf numFmtId="0" fontId="24" fillId="6" borderId="39" xfId="0" applyFont="1" applyFill="1" applyBorder="1"/>
    <xf numFmtId="0" fontId="24" fillId="6" borderId="25" xfId="0" applyFont="1" applyFill="1" applyBorder="1"/>
    <xf numFmtId="2" fontId="9" fillId="0" borderId="13" xfId="1" applyNumberFormat="1" applyFont="1" applyBorder="1"/>
    <xf numFmtId="164" fontId="20" fillId="7" borderId="10" xfId="1" applyNumberFormat="1" applyFont="1" applyFill="1" applyBorder="1" applyProtection="1">
      <protection locked="0"/>
    </xf>
    <xf numFmtId="0" fontId="20" fillId="7" borderId="10" xfId="1" applyNumberFormat="1" applyFont="1" applyFill="1" applyBorder="1" applyProtection="1">
      <protection locked="0"/>
    </xf>
    <xf numFmtId="0" fontId="20" fillId="7" borderId="10" xfId="1" applyFont="1" applyFill="1" applyBorder="1" applyProtection="1">
      <protection locked="0"/>
    </xf>
    <xf numFmtId="0" fontId="20" fillId="3" borderId="27" xfId="1" applyFont="1" applyFill="1" applyBorder="1" applyProtection="1">
      <protection locked="0"/>
    </xf>
    <xf numFmtId="2" fontId="20" fillId="3" borderId="13" xfId="1" applyNumberFormat="1" applyFont="1" applyFill="1" applyBorder="1" applyProtection="1">
      <protection locked="0"/>
    </xf>
    <xf numFmtId="2" fontId="20" fillId="3" borderId="10" xfId="1" applyNumberFormat="1" applyFont="1" applyFill="1" applyBorder="1" applyAlignment="1" applyProtection="1">
      <alignment horizontal="center"/>
      <protection locked="0"/>
    </xf>
    <xf numFmtId="0" fontId="20" fillId="3" borderId="10" xfId="1" applyFont="1" applyFill="1" applyBorder="1" applyProtection="1">
      <protection locked="0"/>
    </xf>
    <xf numFmtId="0" fontId="4" fillId="2" borderId="23" xfId="1" applyFill="1" applyBorder="1" applyProtection="1">
      <protection locked="0"/>
    </xf>
    <xf numFmtId="0" fontId="4" fillId="2" borderId="24" xfId="1" applyFill="1" applyBorder="1" applyProtection="1">
      <protection locked="0"/>
    </xf>
    <xf numFmtId="1" fontId="16" fillId="2" borderId="31" xfId="1" applyNumberFormat="1" applyFont="1" applyFill="1" applyBorder="1" applyProtection="1">
      <protection locked="0"/>
    </xf>
    <xf numFmtId="0" fontId="16" fillId="2" borderId="23" xfId="1" applyFont="1" applyFill="1" applyBorder="1" applyAlignment="1" applyProtection="1">
      <alignment horizontal="left"/>
      <protection locked="0"/>
    </xf>
    <xf numFmtId="1" fontId="21" fillId="6" borderId="5" xfId="1" applyNumberFormat="1" applyFont="1" applyFill="1" applyBorder="1" applyAlignment="1" applyProtection="1">
      <alignment horizontal="center"/>
      <protection locked="0"/>
    </xf>
    <xf numFmtId="1" fontId="16" fillId="6" borderId="31" xfId="1" applyNumberFormat="1" applyFont="1" applyFill="1" applyBorder="1" applyProtection="1">
      <protection locked="0"/>
    </xf>
    <xf numFmtId="0" fontId="16" fillId="6" borderId="23" xfId="1" applyFont="1" applyFill="1" applyBorder="1" applyAlignment="1" applyProtection="1">
      <alignment horizontal="left"/>
      <protection locked="0"/>
    </xf>
    <xf numFmtId="0" fontId="4" fillId="6" borderId="23" xfId="1" applyFill="1" applyBorder="1" applyProtection="1">
      <protection locked="0"/>
    </xf>
    <xf numFmtId="0" fontId="4" fillId="6" borderId="24" xfId="1" applyFill="1" applyBorder="1" applyProtection="1">
      <protection locked="0"/>
    </xf>
    <xf numFmtId="11" fontId="0" fillId="0" borderId="0" xfId="0" applyNumberFormat="1"/>
    <xf numFmtId="164" fontId="20" fillId="6" borderId="0" xfId="1" applyNumberFormat="1" applyFont="1" applyFill="1" applyBorder="1" applyProtection="1">
      <protection locked="0"/>
    </xf>
    <xf numFmtId="0" fontId="20" fillId="6" borderId="0" xfId="1" applyNumberFormat="1" applyFont="1" applyFill="1" applyBorder="1" applyProtection="1">
      <protection locked="0"/>
    </xf>
    <xf numFmtId="0" fontId="20" fillId="6" borderId="0" xfId="1" applyFont="1" applyFill="1" applyBorder="1" applyProtection="1">
      <protection locked="0"/>
    </xf>
    <xf numFmtId="2" fontId="20" fillId="6" borderId="0" xfId="1" applyNumberFormat="1" applyFont="1" applyFill="1" applyBorder="1" applyAlignment="1" applyProtection="1">
      <alignment horizontal="center"/>
      <protection locked="0"/>
    </xf>
    <xf numFmtId="0" fontId="20" fillId="6" borderId="40" xfId="1" applyFont="1" applyFill="1" applyBorder="1" applyProtection="1">
      <protection locked="0"/>
    </xf>
    <xf numFmtId="0" fontId="25" fillId="0" borderId="10" xfId="1" applyFont="1" applyBorder="1" applyAlignment="1">
      <alignment horizontal="left"/>
    </xf>
    <xf numFmtId="164" fontId="20" fillId="5" borderId="10" xfId="1" applyNumberFormat="1" applyFont="1" applyFill="1" applyBorder="1" applyProtection="1">
      <protection locked="0"/>
    </xf>
    <xf numFmtId="164" fontId="20" fillId="5" borderId="29" xfId="1" applyNumberFormat="1" applyFont="1" applyFill="1" applyBorder="1"/>
    <xf numFmtId="0" fontId="11" fillId="2" borderId="26" xfId="1" applyFont="1" applyFill="1" applyBorder="1"/>
    <xf numFmtId="0" fontId="10" fillId="2" borderId="41" xfId="1" applyFont="1" applyFill="1" applyBorder="1"/>
    <xf numFmtId="0" fontId="19" fillId="6" borderId="42" xfId="1" applyFont="1" applyFill="1" applyBorder="1" applyAlignment="1">
      <alignment horizontal="left"/>
    </xf>
    <xf numFmtId="0" fontId="19" fillId="0" borderId="41" xfId="1" applyFont="1" applyBorder="1" applyAlignment="1">
      <alignment horizontal="left"/>
    </xf>
    <xf numFmtId="0" fontId="20" fillId="3" borderId="9" xfId="1" applyFont="1" applyFill="1" applyBorder="1" applyProtection="1">
      <protection locked="0"/>
    </xf>
    <xf numFmtId="0" fontId="20" fillId="5" borderId="32" xfId="1" applyNumberFormat="1" applyFont="1" applyFill="1" applyBorder="1"/>
    <xf numFmtId="164" fontId="20" fillId="5" borderId="13" xfId="1" applyNumberFormat="1" applyFont="1" applyFill="1" applyBorder="1" applyProtection="1">
      <protection locked="0"/>
    </xf>
    <xf numFmtId="164" fontId="20" fillId="5" borderId="26" xfId="1" applyNumberFormat="1" applyFont="1" applyFill="1" applyBorder="1"/>
    <xf numFmtId="0" fontId="26" fillId="8" borderId="1" xfId="1" applyFont="1" applyFill="1" applyBorder="1" applyAlignment="1">
      <alignment horizontal="centerContinuous"/>
    </xf>
    <xf numFmtId="0" fontId="20" fillId="6" borderId="30" xfId="1" applyFont="1" applyFill="1" applyBorder="1" applyProtection="1">
      <protection locked="0"/>
    </xf>
    <xf numFmtId="0" fontId="26" fillId="9" borderId="1" xfId="1" applyFont="1" applyFill="1" applyBorder="1" applyAlignment="1">
      <alignment horizontal="centerContinuous" vertical="justify" wrapText="1"/>
    </xf>
    <xf numFmtId="2" fontId="26" fillId="6" borderId="0" xfId="1" applyNumberFormat="1" applyFont="1" applyFill="1" applyBorder="1"/>
    <xf numFmtId="1" fontId="20" fillId="7" borderId="10" xfId="1" applyNumberFormat="1" applyFont="1" applyFill="1" applyBorder="1" applyAlignment="1" applyProtection="1">
      <alignment horizontal="right"/>
      <protection locked="0"/>
    </xf>
    <xf numFmtId="0" fontId="9" fillId="7" borderId="10" xfId="1" applyNumberFormat="1" applyFont="1" applyFill="1" applyBorder="1" applyAlignment="1">
      <alignment horizontal="right"/>
    </xf>
    <xf numFmtId="0" fontId="27" fillId="6" borderId="43" xfId="1" applyFont="1" applyFill="1" applyBorder="1" applyAlignment="1"/>
    <xf numFmtId="0" fontId="27" fillId="6" borderId="27" xfId="1" applyFont="1" applyFill="1" applyBorder="1" applyAlignment="1"/>
    <xf numFmtId="0" fontId="27" fillId="6" borderId="39" xfId="1" applyFont="1" applyFill="1" applyBorder="1" applyAlignment="1"/>
    <xf numFmtId="1" fontId="20" fillId="6" borderId="0" xfId="1" applyNumberFormat="1" applyFont="1" applyFill="1" applyBorder="1" applyAlignment="1" applyProtection="1">
      <alignment horizontal="right"/>
      <protection locked="0"/>
    </xf>
    <xf numFmtId="164" fontId="20" fillId="6" borderId="0" xfId="1" applyNumberFormat="1" applyFont="1" applyFill="1" applyBorder="1" applyAlignment="1" applyProtection="1">
      <alignment horizontal="left"/>
      <protection locked="0"/>
    </xf>
    <xf numFmtId="0" fontId="20" fillId="6" borderId="0" xfId="1" applyFont="1" applyFill="1" applyBorder="1" applyAlignment="1" applyProtection="1">
      <alignment horizontal="left"/>
      <protection locked="0"/>
    </xf>
    <xf numFmtId="0" fontId="9" fillId="7" borderId="10" xfId="1" applyFont="1" applyFill="1" applyBorder="1" applyAlignment="1"/>
    <xf numFmtId="1" fontId="20" fillId="7" borderId="10" xfId="1" applyNumberFormat="1" applyFont="1" applyFill="1" applyBorder="1" applyAlignment="1" applyProtection="1">
      <protection locked="0"/>
    </xf>
    <xf numFmtId="0" fontId="9" fillId="7" borderId="10" xfId="1" applyNumberFormat="1" applyFont="1" applyFill="1" applyBorder="1" applyAlignment="1"/>
    <xf numFmtId="164" fontId="20" fillId="7" borderId="10" xfId="1" applyNumberFormat="1" applyFont="1" applyFill="1" applyBorder="1" applyAlignment="1" applyProtection="1">
      <alignment horizontal="left"/>
      <protection locked="0"/>
    </xf>
    <xf numFmtId="0" fontId="20" fillId="7" borderId="10" xfId="1" applyFont="1" applyFill="1" applyBorder="1" applyAlignment="1" applyProtection="1">
      <alignment horizontal="left"/>
      <protection locked="0"/>
    </xf>
    <xf numFmtId="164" fontId="9" fillId="7" borderId="10" xfId="1" applyNumberFormat="1" applyFont="1" applyFill="1" applyBorder="1" applyAlignment="1">
      <alignment horizontal="left"/>
    </xf>
    <xf numFmtId="0" fontId="9" fillId="7" borderId="10" xfId="1" applyFont="1" applyFill="1" applyBorder="1" applyAlignment="1">
      <alignment horizontal="left"/>
    </xf>
    <xf numFmtId="0" fontId="27" fillId="6" borderId="35" xfId="1" applyFont="1" applyFill="1" applyBorder="1" applyAlignment="1"/>
    <xf numFmtId="0" fontId="4" fillId="1" borderId="5" xfId="1" applyFill="1" applyBorder="1"/>
    <xf numFmtId="0" fontId="26" fillId="8" borderId="3" xfId="1" applyFont="1" applyFill="1" applyBorder="1"/>
    <xf numFmtId="1" fontId="20" fillId="6" borderId="0" xfId="1" applyNumberFormat="1" applyFont="1" applyFill="1" applyBorder="1" applyAlignment="1" applyProtection="1">
      <protection locked="0"/>
    </xf>
    <xf numFmtId="2" fontId="20" fillId="6" borderId="2" xfId="1" applyNumberFormat="1" applyFont="1" applyFill="1" applyBorder="1" applyProtection="1">
      <protection locked="0"/>
    </xf>
    <xf numFmtId="164" fontId="20" fillId="5" borderId="10" xfId="1" applyNumberFormat="1" applyFont="1" applyFill="1" applyBorder="1" applyProtection="1"/>
    <xf numFmtId="164" fontId="20" fillId="5" borderId="13" xfId="1" applyNumberFormat="1" applyFont="1" applyFill="1" applyBorder="1" applyProtection="1"/>
    <xf numFmtId="2" fontId="20" fillId="5" borderId="9" xfId="1" applyNumberFormat="1" applyFont="1" applyFill="1" applyBorder="1" applyProtection="1"/>
    <xf numFmtId="2" fontId="20" fillId="5" borderId="10" xfId="1" applyNumberFormat="1" applyFont="1" applyFill="1" applyBorder="1" applyProtection="1"/>
    <xf numFmtId="0" fontId="19" fillId="0" borderId="30" xfId="0" applyFont="1" applyBorder="1" applyAlignment="1" applyProtection="1">
      <alignment horizontal="centerContinuous" wrapText="1"/>
    </xf>
    <xf numFmtId="0" fontId="20" fillId="5" borderId="32" xfId="1" applyNumberFormat="1" applyFont="1" applyFill="1" applyBorder="1" applyAlignment="1" applyProtection="1">
      <alignment wrapText="1"/>
    </xf>
    <xf numFmtId="0" fontId="20" fillId="5" borderId="29" xfId="1" applyNumberFormat="1" applyFont="1" applyFill="1" applyBorder="1" applyProtection="1"/>
    <xf numFmtId="0" fontId="26" fillId="9" borderId="1" xfId="1" applyFont="1" applyFill="1" applyBorder="1" applyAlignment="1" applyProtection="1">
      <alignment horizontal="centerContinuous" vertical="justify" wrapText="1"/>
    </xf>
    <xf numFmtId="0" fontId="22" fillId="1" borderId="1" xfId="1" applyFont="1" applyFill="1" applyBorder="1" applyAlignment="1" applyProtection="1">
      <alignment horizontal="centerContinuous" vertical="justify" wrapText="1"/>
    </xf>
    <xf numFmtId="0" fontId="26" fillId="8" borderId="3" xfId="1" applyFont="1" applyFill="1" applyBorder="1" applyAlignment="1" applyProtection="1">
      <alignment horizontal="centerContinuous" vertical="center"/>
    </xf>
    <xf numFmtId="0" fontId="20" fillId="5" borderId="32" xfId="1" applyNumberFormat="1" applyFont="1" applyFill="1" applyBorder="1" applyProtection="1"/>
    <xf numFmtId="164" fontId="20" fillId="5" borderId="29" xfId="1" applyNumberFormat="1" applyFont="1" applyFill="1" applyBorder="1" applyProtection="1"/>
    <xf numFmtId="164" fontId="20" fillId="5" borderId="26" xfId="1" applyNumberFormat="1" applyFont="1" applyFill="1" applyBorder="1" applyProtection="1"/>
    <xf numFmtId="0" fontId="26" fillId="1" borderId="5" xfId="1" applyFont="1" applyFill="1" applyBorder="1" applyProtection="1"/>
    <xf numFmtId="0" fontId="26" fillId="1" borderId="1" xfId="1" applyFont="1" applyFill="1" applyBorder="1" applyProtection="1"/>
    <xf numFmtId="0" fontId="26" fillId="8" borderId="1" xfId="1" applyFont="1" applyFill="1" applyBorder="1" applyAlignment="1" applyProtection="1">
      <alignment horizontal="centerContinuous"/>
    </xf>
    <xf numFmtId="0" fontId="20" fillId="5" borderId="26" xfId="1" applyNumberFormat="1" applyFont="1" applyFill="1" applyBorder="1" applyProtection="1"/>
    <xf numFmtId="0" fontId="10" fillId="6" borderId="33" xfId="1" applyNumberFormat="1" applyFont="1" applyFill="1" applyBorder="1" applyAlignment="1" applyProtection="1">
      <alignment horizontal="centerContinuous"/>
    </xf>
    <xf numFmtId="0" fontId="10" fillId="6" borderId="30" xfId="1" applyNumberFormat="1" applyFont="1" applyFill="1" applyBorder="1" applyAlignment="1" applyProtection="1">
      <alignment horizontal="centerContinuous"/>
    </xf>
    <xf numFmtId="0" fontId="4" fillId="6" borderId="32" xfId="1" applyNumberFormat="1" applyFill="1" applyBorder="1" applyAlignment="1" applyProtection="1">
      <alignment horizontal="center"/>
    </xf>
    <xf numFmtId="0" fontId="10" fillId="0" borderId="10" xfId="1" applyFont="1" applyBorder="1" applyProtection="1"/>
    <xf numFmtId="0" fontId="11" fillId="0" borderId="14" xfId="1" applyFont="1" applyBorder="1" applyProtection="1"/>
    <xf numFmtId="0" fontId="10" fillId="6" borderId="28" xfId="1" applyFont="1" applyFill="1" applyBorder="1" applyProtection="1"/>
    <xf numFmtId="0" fontId="11" fillId="6" borderId="29" xfId="1" applyFont="1" applyFill="1" applyBorder="1" applyProtection="1"/>
    <xf numFmtId="0" fontId="10" fillId="0" borderId="10" xfId="1" applyFont="1" applyFill="1" applyBorder="1" applyProtection="1"/>
    <xf numFmtId="0" fontId="10" fillId="2" borderId="10" xfId="1" applyFont="1" applyFill="1" applyBorder="1" applyProtection="1"/>
    <xf numFmtId="0" fontId="11" fillId="2" borderId="14" xfId="1" applyFont="1" applyFill="1" applyBorder="1" applyProtection="1"/>
    <xf numFmtId="0" fontId="10" fillId="2" borderId="28" xfId="1" applyFont="1" applyFill="1" applyBorder="1" applyProtection="1"/>
    <xf numFmtId="0" fontId="11" fillId="2" borderId="29" xfId="1" applyFont="1" applyFill="1" applyBorder="1" applyProtection="1"/>
    <xf numFmtId="0" fontId="10" fillId="2" borderId="41" xfId="1" applyFont="1" applyFill="1" applyBorder="1" applyProtection="1"/>
    <xf numFmtId="0" fontId="11" fillId="2" borderId="26" xfId="1" applyFont="1" applyFill="1" applyBorder="1" applyProtection="1"/>
    <xf numFmtId="0" fontId="27" fillId="6" borderId="39" xfId="1" applyFont="1" applyFill="1" applyBorder="1" applyAlignment="1" applyProtection="1"/>
    <xf numFmtId="0" fontId="11" fillId="0" borderId="18" xfId="1" applyFont="1" applyBorder="1" applyProtection="1"/>
    <xf numFmtId="0" fontId="27" fillId="6" borderId="27" xfId="1" applyFont="1" applyFill="1" applyBorder="1" applyAlignment="1" applyProtection="1"/>
    <xf numFmtId="0" fontId="27" fillId="6" borderId="43" xfId="1" applyFont="1" applyFill="1" applyBorder="1" applyAlignment="1" applyProtection="1"/>
    <xf numFmtId="0" fontId="27" fillId="6" borderId="35" xfId="1" applyFont="1" applyFill="1" applyBorder="1" applyAlignment="1" applyProtection="1"/>
    <xf numFmtId="0" fontId="11" fillId="0" borderId="19" xfId="1" applyFont="1" applyBorder="1" applyProtection="1"/>
    <xf numFmtId="0" fontId="19" fillId="0" borderId="9" xfId="1" applyFont="1" applyFill="1" applyBorder="1" applyAlignment="1" applyProtection="1">
      <alignment horizontal="left"/>
    </xf>
    <xf numFmtId="0" fontId="19" fillId="0" borderId="10" xfId="1" applyFont="1" applyBorder="1" applyAlignment="1" applyProtection="1">
      <alignment horizontal="left"/>
    </xf>
    <xf numFmtId="0" fontId="25" fillId="0" borderId="10" xfId="1" applyFont="1" applyBorder="1" applyAlignment="1" applyProtection="1">
      <alignment horizontal="left"/>
    </xf>
    <xf numFmtId="0" fontId="19" fillId="0" borderId="11" xfId="1" applyFont="1" applyBorder="1" applyAlignment="1" applyProtection="1">
      <alignment horizontal="left"/>
    </xf>
    <xf numFmtId="0" fontId="19" fillId="6" borderId="42" xfId="1" applyFont="1" applyFill="1" applyBorder="1" applyAlignment="1" applyProtection="1">
      <alignment horizontal="left"/>
    </xf>
    <xf numFmtId="0" fontId="19" fillId="0" borderId="41" xfId="1" applyFont="1" applyBorder="1" applyAlignment="1" applyProtection="1">
      <alignment horizontal="left"/>
    </xf>
    <xf numFmtId="0" fontId="20" fillId="0" borderId="9" xfId="1" applyFont="1" applyBorder="1" applyProtection="1"/>
    <xf numFmtId="1" fontId="20" fillId="2" borderId="10" xfId="1" applyNumberFormat="1" applyFont="1" applyFill="1" applyBorder="1" applyProtection="1"/>
    <xf numFmtId="164" fontId="20" fillId="2" borderId="10" xfId="1" applyNumberFormat="1" applyFont="1" applyFill="1" applyBorder="1" applyAlignment="1" applyProtection="1">
      <alignment horizontal="center"/>
    </xf>
    <xf numFmtId="0" fontId="10" fillId="6" borderId="10" xfId="1" applyFont="1" applyFill="1" applyBorder="1" applyProtection="1"/>
    <xf numFmtId="0" fontId="11" fillId="6" borderId="14" xfId="1" applyFont="1" applyFill="1" applyBorder="1" applyProtection="1"/>
    <xf numFmtId="0" fontId="26" fillId="6" borderId="1" xfId="1" applyFont="1" applyFill="1" applyBorder="1" applyAlignment="1" applyProtection="1">
      <alignment horizontal="centerContinuous" vertical="justify" wrapText="1"/>
    </xf>
    <xf numFmtId="0" fontId="10" fillId="6" borderId="41" xfId="1" applyFont="1" applyFill="1" applyBorder="1" applyProtection="1"/>
    <xf numFmtId="0" fontId="11" fillId="6" borderId="26" xfId="1" applyFont="1" applyFill="1" applyBorder="1" applyProtection="1"/>
    <xf numFmtId="0" fontId="11" fillId="6" borderId="18" xfId="1" applyFont="1" applyFill="1" applyBorder="1" applyProtection="1"/>
    <xf numFmtId="0" fontId="20" fillId="6" borderId="32" xfId="1" applyNumberFormat="1" applyFont="1" applyFill="1" applyBorder="1" applyProtection="1"/>
    <xf numFmtId="164" fontId="20" fillId="6" borderId="29" xfId="1" applyNumberFormat="1" applyFont="1" applyFill="1" applyBorder="1" applyProtection="1"/>
    <xf numFmtId="0" fontId="20" fillId="6" borderId="29" xfId="1" applyNumberFormat="1" applyFont="1" applyFill="1" applyBorder="1" applyProtection="1"/>
    <xf numFmtId="0" fontId="11" fillId="6" borderId="19" xfId="1" applyFont="1" applyFill="1" applyBorder="1" applyProtection="1"/>
    <xf numFmtId="164" fontId="20" fillId="6" borderId="26" xfId="1" applyNumberFormat="1" applyFont="1" applyFill="1" applyBorder="1" applyProtection="1"/>
    <xf numFmtId="0" fontId="19" fillId="6" borderId="9" xfId="1" applyFont="1" applyFill="1" applyBorder="1" applyAlignment="1" applyProtection="1">
      <alignment horizontal="left"/>
    </xf>
    <xf numFmtId="0" fontId="19" fillId="6" borderId="10" xfId="1" applyFont="1" applyFill="1" applyBorder="1" applyAlignment="1" applyProtection="1">
      <alignment horizontal="left"/>
    </xf>
    <xf numFmtId="0" fontId="25" fillId="6" borderId="10" xfId="1" applyFont="1" applyFill="1" applyBorder="1" applyAlignment="1" applyProtection="1">
      <alignment horizontal="left"/>
    </xf>
    <xf numFmtId="0" fontId="19" fillId="6" borderId="11" xfId="1" applyFont="1" applyFill="1" applyBorder="1" applyAlignment="1" applyProtection="1">
      <alignment horizontal="left"/>
    </xf>
    <xf numFmtId="0" fontId="19" fillId="6" borderId="41" xfId="1" applyFont="1" applyFill="1" applyBorder="1" applyAlignment="1" applyProtection="1">
      <alignment horizontal="left"/>
    </xf>
    <xf numFmtId="0" fontId="20" fillId="6" borderId="26" xfId="1" applyNumberFormat="1" applyFont="1" applyFill="1" applyBorder="1" applyProtection="1"/>
    <xf numFmtId="0" fontId="19" fillId="6" borderId="30" xfId="0" applyFont="1" applyFill="1" applyBorder="1" applyAlignment="1" applyProtection="1">
      <alignment horizontal="centerContinuous" wrapText="1"/>
    </xf>
    <xf numFmtId="0" fontId="20" fillId="6" borderId="32" xfId="1" applyNumberFormat="1" applyFont="1" applyFill="1" applyBorder="1" applyAlignment="1" applyProtection="1">
      <alignment wrapText="1"/>
    </xf>
    <xf numFmtId="0" fontId="22" fillId="6" borderId="1" xfId="1" applyFont="1" applyFill="1" applyBorder="1" applyAlignment="1" applyProtection="1">
      <alignment horizontal="centerContinuous" vertical="justify" wrapText="1"/>
    </xf>
    <xf numFmtId="0" fontId="26" fillId="6" borderId="3" xfId="1" applyFont="1" applyFill="1" applyBorder="1" applyAlignment="1" applyProtection="1">
      <alignment horizontal="centerContinuous" vertical="center"/>
    </xf>
    <xf numFmtId="0" fontId="26" fillId="6" borderId="5" xfId="1" applyFont="1" applyFill="1" applyBorder="1" applyProtection="1"/>
    <xf numFmtId="0" fontId="26" fillId="6" borderId="1" xfId="1" applyFont="1" applyFill="1" applyBorder="1" applyProtection="1"/>
    <xf numFmtId="0" fontId="26" fillId="6" borderId="1" xfId="1" applyFont="1" applyFill="1" applyBorder="1" applyAlignment="1" applyProtection="1">
      <alignment horizontal="centerContinuous"/>
    </xf>
    <xf numFmtId="0" fontId="20" fillId="6" borderId="4" xfId="1" applyFont="1" applyFill="1" applyBorder="1" applyProtection="1"/>
    <xf numFmtId="1" fontId="20" fillId="6" borderId="0" xfId="1" applyNumberFormat="1" applyFont="1" applyFill="1" applyBorder="1" applyProtection="1"/>
    <xf numFmtId="164" fontId="20" fillId="6" borderId="0" xfId="1" applyNumberFormat="1" applyFont="1" applyFill="1" applyBorder="1" applyAlignment="1" applyProtection="1">
      <alignment horizontal="center"/>
    </xf>
    <xf numFmtId="164" fontId="20" fillId="6" borderId="40" xfId="1" applyNumberFormat="1" applyFont="1" applyFill="1" applyBorder="1" applyProtection="1"/>
    <xf numFmtId="164" fontId="20" fillId="6" borderId="41" xfId="1" applyNumberFormat="1" applyFont="1" applyFill="1" applyBorder="1" applyProtection="1"/>
    <xf numFmtId="2" fontId="20" fillId="6" borderId="4" xfId="1" applyNumberFormat="1" applyFont="1" applyFill="1" applyBorder="1" applyProtection="1"/>
    <xf numFmtId="2" fontId="20" fillId="6" borderId="0" xfId="1" applyNumberFormat="1" applyFont="1" applyFill="1" applyBorder="1" applyProtection="1"/>
    <xf numFmtId="1" fontId="20" fillId="2" borderId="10" xfId="1" applyNumberFormat="1" applyFont="1" applyFill="1" applyBorder="1" applyProtection="1">
      <protection locked="0"/>
    </xf>
    <xf numFmtId="2" fontId="20" fillId="7" borderId="10" xfId="1" applyNumberFormat="1" applyFont="1" applyFill="1" applyBorder="1" applyProtection="1">
      <protection locked="0"/>
    </xf>
    <xf numFmtId="0" fontId="6" fillId="6" borderId="4" xfId="1" applyNumberFormat="1" applyFont="1" applyFill="1" applyBorder="1"/>
    <xf numFmtId="0" fontId="4" fillId="10" borderId="0" xfId="1" applyFill="1" applyBorder="1"/>
    <xf numFmtId="0" fontId="0" fillId="6" borderId="4" xfId="0" applyFill="1" applyBorder="1" applyProtection="1"/>
    <xf numFmtId="0" fontId="7" fillId="6" borderId="4" xfId="1" applyFont="1" applyFill="1" applyBorder="1" applyProtection="1"/>
    <xf numFmtId="0" fontId="6" fillId="6" borderId="4" xfId="1" applyFont="1" applyFill="1" applyBorder="1" applyProtection="1"/>
    <xf numFmtId="0" fontId="6" fillId="6" borderId="4" xfId="1" applyFont="1" applyFill="1" applyBorder="1" applyAlignment="1" applyProtection="1">
      <alignment horizontal="right"/>
    </xf>
    <xf numFmtId="0" fontId="6" fillId="6" borderId="4" xfId="1" applyNumberFormat="1" applyFont="1" applyFill="1" applyBorder="1" applyProtection="1"/>
    <xf numFmtId="0" fontId="4" fillId="6" borderId="4" xfId="1" applyFill="1" applyBorder="1" applyProtection="1"/>
    <xf numFmtId="0" fontId="0" fillId="0" borderId="4" xfId="0" applyBorder="1" applyProtection="1"/>
    <xf numFmtId="0" fontId="6" fillId="6" borderId="0" xfId="1" applyFont="1" applyFill="1" applyBorder="1" applyAlignment="1" applyProtection="1">
      <alignment horizontal="right"/>
    </xf>
    <xf numFmtId="0" fontId="0" fillId="0" borderId="0" xfId="0" applyProtection="1"/>
    <xf numFmtId="0" fontId="6" fillId="6" borderId="0" xfId="1" applyFont="1" applyFill="1" applyBorder="1" applyProtection="1"/>
    <xf numFmtId="0" fontId="4" fillId="6" borderId="0" xfId="1" applyFont="1" applyFill="1"/>
    <xf numFmtId="0" fontId="28" fillId="6" borderId="0" xfId="1" applyFont="1" applyFill="1"/>
    <xf numFmtId="166" fontId="4" fillId="6" borderId="0" xfId="1" applyNumberFormat="1" applyFont="1" applyFill="1" applyAlignment="1">
      <alignment horizontal="centerContinuous"/>
    </xf>
    <xf numFmtId="0" fontId="29" fillId="7" borderId="0" xfId="1" applyFont="1" applyFill="1" applyProtection="1">
      <protection locked="0"/>
    </xf>
    <xf numFmtId="0" fontId="4" fillId="7" borderId="0" xfId="1" applyFont="1" applyFill="1"/>
    <xf numFmtId="0" fontId="29" fillId="7" borderId="0" xfId="1" applyFont="1" applyFill="1"/>
    <xf numFmtId="0" fontId="31" fillId="6" borderId="0" xfId="1" applyFont="1" applyFill="1" applyAlignment="1">
      <alignment horizontal="right"/>
    </xf>
    <xf numFmtId="0" fontId="8" fillId="3" borderId="0" xfId="1" applyFont="1" applyFill="1" applyBorder="1" applyAlignment="1" applyProtection="1">
      <alignment horizontal="left"/>
      <protection locked="0"/>
    </xf>
    <xf numFmtId="0" fontId="8" fillId="3" borderId="0" xfId="1" applyFont="1" applyFill="1" applyBorder="1" applyAlignment="1">
      <alignment horizontal="left"/>
    </xf>
    <xf numFmtId="0" fontId="33" fillId="6" borderId="4" xfId="1" applyFont="1" applyFill="1" applyBorder="1" applyAlignment="1" applyProtection="1">
      <alignment horizontal="right"/>
    </xf>
    <xf numFmtId="0" fontId="33" fillId="6" borderId="4" xfId="1" applyFont="1" applyFill="1" applyBorder="1" applyAlignment="1">
      <alignment horizontal="right"/>
    </xf>
    <xf numFmtId="0" fontId="6" fillId="7" borderId="0" xfId="1" applyFont="1" applyFill="1" applyBorder="1" applyAlignment="1" applyProtection="1">
      <alignment horizontal="left"/>
      <protection locked="0"/>
    </xf>
    <xf numFmtId="0" fontId="6" fillId="7" borderId="0" xfId="1" applyFont="1" applyFill="1" applyBorder="1" applyAlignment="1">
      <alignment horizontal="left"/>
    </xf>
    <xf numFmtId="0" fontId="6" fillId="6" borderId="0" xfId="1" applyFont="1" applyFill="1" applyBorder="1" applyAlignment="1" applyProtection="1">
      <alignment horizontal="left"/>
    </xf>
    <xf numFmtId="0" fontId="6" fillId="6" borderId="0" xfId="1" applyFont="1" applyFill="1" applyBorder="1" applyAlignment="1">
      <alignment horizontal="left"/>
    </xf>
    <xf numFmtId="0" fontId="6" fillId="7" borderId="0" xfId="1" applyNumberFormat="1" applyFont="1" applyFill="1" applyBorder="1" applyAlignment="1">
      <alignment horizontal="left"/>
    </xf>
    <xf numFmtId="0" fontId="6" fillId="6" borderId="0" xfId="1" applyNumberFormat="1" applyFont="1" applyFill="1" applyBorder="1" applyAlignment="1" applyProtection="1">
      <alignment horizontal="left"/>
    </xf>
    <xf numFmtId="0" fontId="6" fillId="6" borderId="0" xfId="1" applyNumberFormat="1" applyFont="1" applyFill="1" applyBorder="1" applyAlignment="1">
      <alignment horizontal="left"/>
    </xf>
    <xf numFmtId="0" fontId="0" fillId="6" borderId="0" xfId="0" applyFill="1" applyAlignment="1" applyProtection="1">
      <alignment horizontal="left"/>
    </xf>
    <xf numFmtId="0" fontId="0" fillId="6" borderId="0" xfId="0" applyFill="1" applyAlignment="1">
      <alignment horizontal="left"/>
    </xf>
    <xf numFmtId="0" fontId="4" fillId="6" borderId="1" xfId="1" applyFill="1" applyBorder="1" applyAlignment="1" applyProtection="1">
      <alignment horizontal="left"/>
    </xf>
    <xf numFmtId="0" fontId="4" fillId="6" borderId="1" xfId="1" applyFill="1" applyBorder="1" applyAlignment="1">
      <alignment horizontal="left"/>
    </xf>
    <xf numFmtId="0" fontId="32" fillId="0" borderId="5" xfId="0" applyFont="1" applyBorder="1" applyAlignment="1" applyProtection="1">
      <alignment horizontal="left"/>
    </xf>
    <xf numFmtId="0" fontId="32" fillId="0" borderId="5" xfId="0" applyFont="1" applyBorder="1" applyAlignment="1">
      <alignment horizontal="left"/>
    </xf>
    <xf numFmtId="0" fontId="32" fillId="6" borderId="5" xfId="0" applyFont="1" applyFill="1" applyBorder="1" applyAlignment="1" applyProtection="1">
      <alignment horizontal="left"/>
    </xf>
    <xf numFmtId="0" fontId="32" fillId="6" borderId="5" xfId="0" applyFont="1" applyFill="1" applyBorder="1" applyAlignment="1">
      <alignment horizontal="left"/>
    </xf>
    <xf numFmtId="0" fontId="30" fillId="6" borderId="0" xfId="0" applyFont="1" applyFill="1" applyAlignment="1"/>
    <xf numFmtId="166" fontId="29" fillId="6" borderId="0" xfId="1" applyNumberFormat="1" applyFont="1" applyFill="1" applyAlignment="1">
      <alignment horizontal="centerContinuous"/>
    </xf>
    <xf numFmtId="166" fontId="28" fillId="6" borderId="0" xfId="1" applyNumberFormat="1" applyFont="1" applyFill="1" applyAlignment="1">
      <alignment horizontal="centerContinuous"/>
    </xf>
    <xf numFmtId="166" fontId="30" fillId="6" borderId="0" xfId="0" applyNumberFormat="1" applyFont="1" applyFill="1" applyAlignment="1"/>
    <xf numFmtId="0" fontId="8" fillId="6" borderId="0" xfId="1" applyFont="1" applyFill="1" applyBorder="1" applyAlignment="1" applyProtection="1">
      <alignment horizontal="left"/>
      <protection locked="0"/>
    </xf>
    <xf numFmtId="0" fontId="0" fillId="6" borderId="0" xfId="0" applyFill="1" applyProtection="1"/>
    <xf numFmtId="0" fontId="29" fillId="6" borderId="0" xfId="1" applyFont="1" applyFill="1" applyProtection="1">
      <protection locked="0"/>
    </xf>
    <xf numFmtId="1" fontId="20" fillId="6" borderId="0" xfId="1" applyNumberFormat="1" applyFont="1" applyFill="1" applyBorder="1" applyProtection="1">
      <protection locked="0"/>
    </xf>
    <xf numFmtId="2" fontId="20" fillId="6" borderId="0" xfId="1" applyNumberFormat="1" applyFont="1" applyFill="1" applyBorder="1" applyProtection="1">
      <protection locked="0"/>
    </xf>
    <xf numFmtId="0" fontId="14" fillId="6" borderId="0" xfId="1" applyFont="1" applyFill="1" applyBorder="1" applyAlignment="1">
      <alignment horizontal="left"/>
    </xf>
    <xf numFmtId="0" fontId="6" fillId="6" borderId="0" xfId="1" applyFont="1" applyFill="1" applyBorder="1" applyProtection="1">
      <protection locked="0"/>
    </xf>
    <xf numFmtId="0" fontId="6" fillId="6" borderId="0" xfId="1" applyFont="1" applyFill="1" applyBorder="1" applyAlignment="1" applyProtection="1">
      <alignment horizontal="center"/>
      <protection locked="0"/>
    </xf>
    <xf numFmtId="0" fontId="34" fillId="10" borderId="0" xfId="1" applyFont="1" applyFill="1" applyBorder="1" applyAlignment="1">
      <alignment horizontal="left" vertical="top"/>
    </xf>
    <xf numFmtId="0" fontId="35" fillId="6" borderId="0" xfId="1" applyFont="1" applyFill="1" applyBorder="1" applyAlignment="1">
      <alignment horizontal="left" vertical="top"/>
    </xf>
    <xf numFmtId="0" fontId="20" fillId="6" borderId="9" xfId="1" applyFont="1" applyFill="1" applyBorder="1" applyProtection="1"/>
    <xf numFmtId="164" fontId="20" fillId="6" borderId="10" xfId="1" applyNumberFormat="1" applyFont="1" applyFill="1" applyBorder="1" applyProtection="1">
      <protection locked="0"/>
    </xf>
    <xf numFmtId="164" fontId="20" fillId="6" borderId="10" xfId="1" applyNumberFormat="1" applyFont="1" applyFill="1" applyBorder="1" applyAlignment="1" applyProtection="1">
      <alignment horizontal="left"/>
      <protection locked="0"/>
    </xf>
    <xf numFmtId="1" fontId="20" fillId="6" borderId="10" xfId="1" applyNumberFormat="1" applyFont="1" applyFill="1" applyBorder="1" applyAlignment="1" applyProtection="1">
      <protection locked="0"/>
    </xf>
    <xf numFmtId="1" fontId="20" fillId="6" borderId="10" xfId="1" applyNumberFormat="1" applyFont="1" applyFill="1" applyBorder="1" applyProtection="1">
      <protection locked="0"/>
    </xf>
    <xf numFmtId="0" fontId="20" fillId="6" borderId="10" xfId="1" applyFont="1" applyFill="1" applyBorder="1" applyAlignment="1" applyProtection="1">
      <alignment horizontal="left"/>
      <protection locked="0"/>
    </xf>
    <xf numFmtId="1" fontId="20" fillId="6" borderId="10" xfId="1" applyNumberFormat="1" applyFont="1" applyFill="1" applyBorder="1" applyAlignment="1" applyProtection="1">
      <alignment horizontal="right"/>
      <protection locked="0"/>
    </xf>
    <xf numFmtId="1" fontId="20" fillId="6" borderId="10" xfId="1" applyNumberFormat="1" applyFont="1" applyFill="1" applyBorder="1" applyProtection="1"/>
    <xf numFmtId="0" fontId="20" fillId="6" borderId="10" xfId="1" applyNumberFormat="1" applyFont="1" applyFill="1" applyBorder="1" applyProtection="1">
      <protection locked="0"/>
    </xf>
    <xf numFmtId="0" fontId="20" fillId="6" borderId="10" xfId="1" applyFont="1" applyFill="1" applyBorder="1" applyProtection="1">
      <protection locked="0"/>
    </xf>
    <xf numFmtId="164" fontId="20" fillId="6" borderId="10" xfId="1" applyNumberFormat="1" applyFont="1" applyFill="1" applyBorder="1" applyAlignment="1" applyProtection="1">
      <alignment horizontal="center"/>
    </xf>
    <xf numFmtId="0" fontId="20" fillId="6" borderId="27" xfId="1" applyFont="1" applyFill="1" applyBorder="1" applyProtection="1">
      <protection locked="0"/>
    </xf>
    <xf numFmtId="2" fontId="20" fillId="6" borderId="10" xfId="1" applyNumberFormat="1" applyFont="1" applyFill="1" applyBorder="1" applyProtection="1">
      <protection locked="0"/>
    </xf>
    <xf numFmtId="2" fontId="20" fillId="6" borderId="13" xfId="1" applyNumberFormat="1" applyFont="1" applyFill="1" applyBorder="1" applyProtection="1">
      <protection locked="0"/>
    </xf>
    <xf numFmtId="0" fontId="20" fillId="6" borderId="9" xfId="1" applyFont="1" applyFill="1" applyBorder="1" applyProtection="1">
      <protection locked="0"/>
    </xf>
    <xf numFmtId="164" fontId="20" fillId="6" borderId="10" xfId="1" applyNumberFormat="1" applyFont="1" applyFill="1" applyBorder="1" applyProtection="1"/>
    <xf numFmtId="164" fontId="20" fillId="6" borderId="13" xfId="1" applyNumberFormat="1" applyFont="1" applyFill="1" applyBorder="1" applyProtection="1"/>
    <xf numFmtId="2" fontId="20" fillId="6" borderId="9" xfId="1" applyNumberFormat="1" applyFont="1" applyFill="1" applyBorder="1" applyProtection="1"/>
    <xf numFmtId="2" fontId="20" fillId="6" borderId="10" xfId="1" applyNumberFormat="1" applyFont="1" applyFill="1" applyBorder="1" applyAlignment="1" applyProtection="1">
      <alignment horizontal="center"/>
      <protection locked="0"/>
    </xf>
    <xf numFmtId="2" fontId="20" fillId="6" borderId="10" xfId="1" applyNumberFormat="1" applyFont="1" applyFill="1" applyBorder="1" applyProtection="1"/>
    <xf numFmtId="0" fontId="34" fillId="6" borderId="0" xfId="1" applyFont="1" applyFill="1" applyBorder="1" applyAlignment="1">
      <alignment horizontal="left" vertical="top"/>
    </xf>
    <xf numFmtId="0" fontId="36" fillId="11" borderId="0" xfId="0" applyFont="1" applyFill="1"/>
    <xf numFmtId="0" fontId="0" fillId="11" borderId="0" xfId="0" applyFill="1"/>
    <xf numFmtId="0" fontId="24" fillId="0" borderId="0" xfId="0" applyFont="1"/>
    <xf numFmtId="0" fontId="19" fillId="6" borderId="0" xfId="0" applyFont="1" applyFill="1" applyBorder="1" applyAlignment="1" applyProtection="1">
      <alignment horizontal="centerContinuous" wrapText="1"/>
    </xf>
    <xf numFmtId="0" fontId="19" fillId="6" borderId="0" xfId="0" applyFont="1" applyFill="1" applyBorder="1" applyAlignment="1">
      <alignment horizontal="centerContinuous" wrapText="1"/>
    </xf>
    <xf numFmtId="0" fontId="20" fillId="5" borderId="1" xfId="1" applyNumberFormat="1" applyFont="1" applyFill="1" applyBorder="1" applyAlignment="1" applyProtection="1">
      <alignment wrapText="1"/>
    </xf>
    <xf numFmtId="0" fontId="19" fillId="6" borderId="2" xfId="0" applyFont="1" applyFill="1" applyBorder="1" applyAlignment="1" applyProtection="1">
      <alignment horizontal="centerContinuous" wrapText="1"/>
    </xf>
    <xf numFmtId="0" fontId="20" fillId="6" borderId="3" xfId="1" applyNumberFormat="1" applyFont="1" applyFill="1" applyBorder="1" applyAlignment="1" applyProtection="1">
      <alignment horizontal="centerContinuous" wrapText="1"/>
    </xf>
    <xf numFmtId="0" fontId="20" fillId="6" borderId="1" xfId="1" applyNumberFormat="1" applyFont="1" applyFill="1" applyBorder="1" applyAlignment="1" applyProtection="1">
      <alignment wrapText="1"/>
    </xf>
    <xf numFmtId="0" fontId="25" fillId="6" borderId="38" xfId="1" applyFont="1" applyFill="1" applyBorder="1" applyAlignment="1" applyProtection="1">
      <alignment horizontal="left"/>
    </xf>
    <xf numFmtId="0" fontId="25" fillId="6" borderId="44" xfId="1" applyFont="1" applyFill="1" applyBorder="1" applyAlignment="1" applyProtection="1">
      <alignment horizontal="left"/>
    </xf>
    <xf numFmtId="0" fontId="25" fillId="6" borderId="45" xfId="1" applyFont="1" applyFill="1" applyBorder="1" applyAlignment="1" applyProtection="1">
      <alignment horizontal="left"/>
    </xf>
    <xf numFmtId="0" fontId="4" fillId="6" borderId="0" xfId="1" applyFill="1" applyBorder="1" applyAlignment="1"/>
    <xf numFmtId="0" fontId="25" fillId="6" borderId="38" xfId="1" applyFont="1" applyFill="1" applyBorder="1" applyAlignment="1">
      <alignment horizontal="left"/>
    </xf>
    <xf numFmtId="0" fontId="25" fillId="6" borderId="44" xfId="1" applyFont="1" applyFill="1" applyBorder="1" applyAlignment="1">
      <alignment horizontal="left"/>
    </xf>
    <xf numFmtId="0" fontId="25" fillId="6" borderId="45" xfId="1" applyFont="1" applyFill="1" applyBorder="1" applyAlignment="1">
      <alignment horizontal="left"/>
    </xf>
    <xf numFmtId="164" fontId="9" fillId="5" borderId="1" xfId="1" applyNumberFormat="1" applyFont="1" applyFill="1" applyBorder="1" applyAlignment="1">
      <alignment wrapText="1"/>
    </xf>
    <xf numFmtId="0" fontId="27" fillId="6" borderId="44" xfId="1" applyFont="1" applyFill="1" applyBorder="1" applyAlignment="1" applyProtection="1">
      <alignment horizontal="centerContinuous"/>
    </xf>
    <xf numFmtId="0" fontId="27" fillId="6" borderId="45" xfId="1" applyFont="1" applyFill="1" applyBorder="1" applyAlignment="1" applyProtection="1">
      <alignment horizontal="centerContinuous"/>
    </xf>
    <xf numFmtId="0" fontId="27" fillId="6" borderId="46" xfId="1" applyFont="1" applyFill="1" applyBorder="1" applyAlignment="1" applyProtection="1">
      <alignment horizontal="centerContinuous"/>
    </xf>
    <xf numFmtId="0" fontId="27" fillId="6" borderId="44" xfId="1" applyFont="1" applyFill="1" applyBorder="1" applyProtection="1"/>
    <xf numFmtId="164" fontId="37" fillId="6" borderId="45" xfId="1" applyNumberFormat="1" applyFont="1" applyFill="1" applyBorder="1" applyAlignment="1" applyProtection="1">
      <alignment horizontal="center"/>
      <protection locked="0"/>
    </xf>
    <xf numFmtId="164" fontId="27" fillId="6" borderId="44" xfId="1" applyNumberFormat="1" applyFont="1" applyFill="1" applyBorder="1" applyAlignment="1" applyProtection="1">
      <alignment horizontal="centerContinuous"/>
    </xf>
    <xf numFmtId="0" fontId="27" fillId="6" borderId="7" xfId="1" applyFont="1" applyFill="1" applyBorder="1" applyAlignment="1" applyProtection="1">
      <alignment horizontal="centerContinuous"/>
    </xf>
    <xf numFmtId="0" fontId="27" fillId="6" borderId="7" xfId="1" applyFont="1" applyFill="1" applyBorder="1" applyProtection="1"/>
    <xf numFmtId="0" fontId="27" fillId="2" borderId="46" xfId="1" applyFont="1" applyFill="1" applyBorder="1" applyAlignment="1" applyProtection="1">
      <alignment horizontal="centerContinuous"/>
    </xf>
    <xf numFmtId="0" fontId="27" fillId="2" borderId="44" xfId="1" applyFont="1" applyFill="1" applyBorder="1" applyAlignment="1" applyProtection="1">
      <alignment horizontal="centerContinuous"/>
    </xf>
    <xf numFmtId="0" fontId="27" fillId="2" borderId="44" xfId="1" applyFont="1" applyFill="1" applyBorder="1" applyProtection="1"/>
    <xf numFmtId="164" fontId="38" fillId="2" borderId="45" xfId="1" applyNumberFormat="1" applyFont="1" applyFill="1" applyBorder="1" applyAlignment="1" applyProtection="1">
      <alignment horizontal="center"/>
      <protection locked="0"/>
    </xf>
    <xf numFmtId="0" fontId="38" fillId="2" borderId="44" xfId="1" applyFont="1" applyFill="1" applyBorder="1" applyProtection="1"/>
    <xf numFmtId="0" fontId="29" fillId="2" borderId="44" xfId="1" applyFont="1" applyFill="1" applyBorder="1" applyProtection="1"/>
    <xf numFmtId="0" fontId="39" fillId="2" borderId="44" xfId="1" applyFont="1" applyFill="1" applyBorder="1" applyProtection="1"/>
    <xf numFmtId="164" fontId="40" fillId="2" borderId="45" xfId="1" applyNumberFormat="1" applyFont="1" applyFill="1" applyBorder="1" applyAlignment="1" applyProtection="1">
      <alignment horizontal="center"/>
      <protection locked="0"/>
    </xf>
    <xf numFmtId="0" fontId="27" fillId="2" borderId="46" xfId="1" applyFont="1" applyFill="1" applyBorder="1" applyAlignment="1" applyProtection="1">
      <alignment horizontal="center"/>
    </xf>
    <xf numFmtId="164" fontId="27" fillId="2" borderId="45" xfId="1" applyNumberFormat="1" applyFont="1" applyFill="1" applyBorder="1" applyAlignment="1" applyProtection="1">
      <alignment horizontal="center"/>
    </xf>
    <xf numFmtId="0" fontId="27" fillId="2" borderId="42" xfId="1" applyFont="1" applyFill="1" applyBorder="1" applyProtection="1"/>
    <xf numFmtId="0" fontId="19" fillId="6" borderId="38" xfId="1" applyFont="1" applyFill="1" applyBorder="1" applyAlignment="1" applyProtection="1"/>
    <xf numFmtId="0" fontId="19" fillId="6" borderId="44" xfId="1" applyFont="1" applyFill="1" applyBorder="1" applyAlignment="1" applyProtection="1"/>
    <xf numFmtId="0" fontId="19" fillId="6" borderId="34" xfId="1" applyFont="1" applyFill="1" applyBorder="1" applyAlignment="1" applyProtection="1"/>
    <xf numFmtId="0" fontId="19" fillId="6" borderId="33" xfId="1" applyFont="1" applyFill="1" applyBorder="1" applyAlignment="1" applyProtection="1">
      <alignment horizontal="centerContinuous" wrapText="1"/>
    </xf>
    <xf numFmtId="164" fontId="19" fillId="6" borderId="7" xfId="1" applyNumberFormat="1" applyFont="1" applyFill="1" applyBorder="1" applyAlignment="1" applyProtection="1">
      <alignment horizontal="centerContinuous"/>
    </xf>
    <xf numFmtId="0" fontId="27" fillId="6" borderId="44" xfId="1" applyFont="1" applyFill="1" applyBorder="1" applyAlignment="1">
      <alignment horizontal="centerContinuous"/>
    </xf>
    <xf numFmtId="0" fontId="27" fillId="6" borderId="45" xfId="1" applyFont="1" applyFill="1" applyBorder="1" applyAlignment="1">
      <alignment horizontal="centerContinuous"/>
    </xf>
    <xf numFmtId="0" fontId="27" fillId="6" borderId="46" xfId="1" applyFont="1" applyFill="1" applyBorder="1" applyAlignment="1">
      <alignment horizontal="centerContinuous"/>
    </xf>
    <xf numFmtId="0" fontId="27" fillId="6" borderId="44" xfId="1" applyFont="1" applyFill="1" applyBorder="1"/>
    <xf numFmtId="164" fontId="27" fillId="6" borderId="45" xfId="1" applyNumberFormat="1" applyFont="1" applyFill="1" applyBorder="1" applyAlignment="1">
      <alignment horizontal="center"/>
    </xf>
    <xf numFmtId="0" fontId="27" fillId="6" borderId="7" xfId="1" applyFont="1" applyFill="1" applyBorder="1" applyAlignment="1">
      <alignment horizontal="centerContinuous"/>
    </xf>
    <xf numFmtId="164" fontId="27" fillId="6" borderId="7" xfId="1" applyNumberFormat="1" applyFont="1" applyFill="1" applyBorder="1" applyAlignment="1">
      <alignment horizontal="centerContinuous"/>
    </xf>
    <xf numFmtId="0" fontId="27" fillId="6" borderId="7" xfId="1" applyFont="1" applyFill="1" applyBorder="1"/>
    <xf numFmtId="164" fontId="27" fillId="6" borderId="7" xfId="1" applyNumberFormat="1" applyFont="1" applyFill="1" applyBorder="1" applyAlignment="1">
      <alignment horizontal="center"/>
    </xf>
    <xf numFmtId="164" fontId="27" fillId="6" borderId="44" xfId="1" applyNumberFormat="1" applyFont="1" applyFill="1" applyBorder="1" applyAlignment="1">
      <alignment horizontal="centerContinuous"/>
    </xf>
    <xf numFmtId="0" fontId="27" fillId="2" borderId="46" xfId="1" applyFont="1" applyFill="1" applyBorder="1" applyAlignment="1">
      <alignment horizontal="centerContinuous"/>
    </xf>
    <xf numFmtId="0" fontId="27" fillId="2" borderId="44" xfId="1" applyFont="1" applyFill="1" applyBorder="1" applyAlignment="1">
      <alignment horizontal="centerContinuous"/>
    </xf>
    <xf numFmtId="0" fontId="27" fillId="2" borderId="44" xfId="1" applyFont="1" applyFill="1" applyBorder="1"/>
    <xf numFmtId="164" fontId="27" fillId="2" borderId="45" xfId="1" applyNumberFormat="1" applyFont="1" applyFill="1" applyBorder="1" applyAlignment="1">
      <alignment horizontal="center"/>
    </xf>
    <xf numFmtId="0" fontId="29" fillId="2" borderId="44" xfId="1" applyFont="1" applyFill="1" applyBorder="1"/>
    <xf numFmtId="164" fontId="10" fillId="2" borderId="45" xfId="1" applyNumberFormat="1" applyFont="1" applyFill="1" applyBorder="1" applyAlignment="1">
      <alignment horizontal="center"/>
    </xf>
    <xf numFmtId="0" fontId="27" fillId="2" borderId="46" xfId="1" applyFont="1" applyFill="1" applyBorder="1" applyAlignment="1">
      <alignment horizontal="center"/>
    </xf>
    <xf numFmtId="0" fontId="27" fillId="2" borderId="42" xfId="1" applyFont="1" applyFill="1" applyBorder="1"/>
    <xf numFmtId="0" fontId="19" fillId="6" borderId="38" xfId="1" applyFont="1" applyFill="1" applyBorder="1" applyAlignment="1"/>
    <xf numFmtId="0" fontId="19" fillId="6" borderId="44" xfId="1" applyFont="1" applyFill="1" applyBorder="1" applyAlignment="1"/>
    <xf numFmtId="0" fontId="19" fillId="6" borderId="34" xfId="1" applyFont="1" applyFill="1" applyBorder="1" applyAlignment="1"/>
    <xf numFmtId="0" fontId="19" fillId="6" borderId="33" xfId="1" applyFont="1" applyFill="1" applyBorder="1" applyAlignment="1">
      <alignment horizontal="centerContinuous" wrapText="1"/>
    </xf>
    <xf numFmtId="164" fontId="19" fillId="6" borderId="7" xfId="1" applyNumberFormat="1" applyFont="1" applyFill="1" applyBorder="1" applyAlignment="1">
      <alignment horizontal="centerContinuous"/>
    </xf>
    <xf numFmtId="0" fontId="27" fillId="6" borderId="44" xfId="1" applyFont="1" applyFill="1" applyBorder="1" applyAlignment="1" applyProtection="1">
      <alignment horizontal="left"/>
    </xf>
    <xf numFmtId="0" fontId="27" fillId="6" borderId="44" xfId="1" applyFont="1" applyFill="1" applyBorder="1" applyAlignment="1">
      <alignment horizontal="left"/>
    </xf>
    <xf numFmtId="0" fontId="19" fillId="6" borderId="2" xfId="0" applyFont="1" applyFill="1" applyBorder="1" applyAlignment="1">
      <alignment horizontal="centerContinuous" wrapText="1"/>
    </xf>
    <xf numFmtId="164" fontId="9" fillId="6" borderId="3" xfId="1" applyNumberFormat="1" applyFont="1" applyFill="1" applyBorder="1" applyAlignment="1" applyProtection="1">
      <alignment horizontal="centerContinuous" wrapText="1"/>
    </xf>
    <xf numFmtId="164" fontId="41" fillId="6" borderId="8" xfId="1" applyNumberFormat="1" applyFont="1" applyFill="1" applyBorder="1" applyAlignment="1" applyProtection="1">
      <alignment horizontal="centerContinuous"/>
    </xf>
    <xf numFmtId="164" fontId="41" fillId="6" borderId="8" xfId="1" applyNumberFormat="1" applyFont="1" applyFill="1" applyBorder="1" applyAlignment="1">
      <alignment horizontal="centerContinuous"/>
    </xf>
    <xf numFmtId="0" fontId="0" fillId="7" borderId="0" xfId="0" applyFill="1" applyAlignment="1" applyProtection="1">
      <alignment horizontal="left"/>
    </xf>
    <xf numFmtId="0" fontId="0" fillId="7" borderId="0" xfId="0" applyFill="1" applyAlignment="1">
      <alignment horizontal="left"/>
    </xf>
    <xf numFmtId="49" fontId="6" fillId="7" borderId="0" xfId="1" applyNumberFormat="1" applyFont="1" applyFill="1" applyBorder="1" applyAlignment="1" applyProtection="1">
      <alignment horizontal="left"/>
      <protection locked="0"/>
    </xf>
    <xf numFmtId="164" fontId="38" fillId="6" borderId="45" xfId="1" applyNumberFormat="1" applyFont="1" applyFill="1" applyBorder="1" applyAlignment="1" applyProtection="1">
      <alignment horizontal="center"/>
      <protection locked="0"/>
    </xf>
    <xf numFmtId="0" fontId="38" fillId="6" borderId="44" xfId="1" applyFont="1" applyFill="1" applyBorder="1" applyProtection="1"/>
    <xf numFmtId="0" fontId="29" fillId="6" borderId="44" xfId="1" applyFont="1" applyFill="1" applyBorder="1" applyProtection="1"/>
    <xf numFmtId="0" fontId="39" fillId="6" borderId="44" xfId="1" applyFont="1" applyFill="1" applyBorder="1" applyProtection="1"/>
    <xf numFmtId="164" fontId="40" fillId="6" borderId="45" xfId="1" applyNumberFormat="1" applyFont="1" applyFill="1" applyBorder="1" applyAlignment="1" applyProtection="1">
      <alignment horizontal="center"/>
      <protection locked="0"/>
    </xf>
    <xf numFmtId="0" fontId="27" fillId="6" borderId="46" xfId="1" applyFont="1" applyFill="1" applyBorder="1" applyAlignment="1" applyProtection="1">
      <alignment horizontal="center"/>
    </xf>
    <xf numFmtId="164" fontId="27" fillId="6" borderId="45" xfId="1" applyNumberFormat="1" applyFont="1" applyFill="1" applyBorder="1" applyAlignment="1" applyProtection="1">
      <alignment horizontal="center"/>
    </xf>
    <xf numFmtId="0" fontId="27" fillId="6" borderId="42" xfId="1" applyFont="1" applyFill="1" applyBorder="1" applyProtection="1"/>
    <xf numFmtId="1" fontId="20" fillId="5" borderId="10" xfId="1" applyNumberFormat="1" applyFont="1" applyFill="1" applyBorder="1" applyProtection="1"/>
    <xf numFmtId="0" fontId="6" fillId="7" borderId="0" xfId="1" applyNumberFormat="1" applyFont="1" applyFill="1" applyBorder="1" applyAlignment="1" applyProtection="1">
      <alignment horizontal="left"/>
      <protection locked="0"/>
    </xf>
    <xf numFmtId="1" fontId="20" fillId="6" borderId="40" xfId="1" applyNumberFormat="1" applyFont="1" applyFill="1" applyBorder="1" applyProtection="1"/>
    <xf numFmtId="0" fontId="44" fillId="6" borderId="2" xfId="1" applyFont="1" applyFill="1" applyBorder="1" applyAlignment="1">
      <alignment horizontal="left" vertical="center"/>
    </xf>
    <xf numFmtId="0" fontId="6" fillId="6" borderId="0" xfId="1" applyFont="1" applyFill="1" applyBorder="1" applyAlignment="1" applyProtection="1">
      <alignment horizontal="left"/>
      <protection locked="0"/>
    </xf>
    <xf numFmtId="0" fontId="6" fillId="6" borderId="0" xfId="1" applyNumberFormat="1" applyFont="1" applyFill="1" applyBorder="1" applyAlignment="1" applyProtection="1">
      <alignment horizontal="left"/>
      <protection locked="0"/>
    </xf>
    <xf numFmtId="49" fontId="6" fillId="6" borderId="0" xfId="1" applyNumberFormat="1" applyFont="1" applyFill="1" applyBorder="1" applyAlignment="1" applyProtection="1">
      <alignment horizontal="left"/>
      <protection locked="0"/>
    </xf>
  </cellXfs>
  <cellStyles count="2">
    <cellStyle name="Normal" xfId="0" builtinId="0"/>
    <cellStyle name="Normal_budget form" xfId="1" xr:uid="{00000000-0005-0000-0000-000001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dialogsheet" Target="dialogsheets/sheet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dialogsheet" Target="dialogsheets/sheet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dialogsheet" Target="dialogsheets/sheet1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2" dropStyle="combo" dx="22" fmlaLink="$B$1" fmlaRange="data1!$A$2:$A$3" noThreeD="1" sel="1" val="0"/>
</file>

<file path=xl/ctrlProps/ctrlProp2.xml><?xml version="1.0" encoding="utf-8"?>
<formControlPr xmlns="http://schemas.microsoft.com/office/spreadsheetml/2009/9/main" objectType="Radio" checked="Checked" firstButton="1" fmlaLink="$A$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CheckBox" fmlaLink="$A$62" lockText="1" noThreeD="1"/>
</file>

<file path=xl/ctrlProps/ctrlProp5.xml><?xml version="1.0" encoding="utf-8"?>
<formControlPr xmlns="http://schemas.microsoft.com/office/spreadsheetml/2009/9/main" objectType="CheckBox" fmlaLink="$A$57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17" dropStyle="combo" dx="22" fmlaLink="$E$5" fmlaRange="data1!$C$1:$C$50" sel="1" val="0"/>
</file>

<file path=xl/ctrlProps/ctrlProp9.xml><?xml version="1.0" encoding="utf-8"?>
<formControlPr xmlns="http://schemas.microsoft.com/office/spreadsheetml/2009/9/main" objectType="CheckBox" fmlaLink="$A$42" lockText="1" noThreeD="1"/>
</file>

<file path=xl/ctrlProps/ctrlProp10.xml><?xml version="1.0" encoding="utf-8"?>
<formControlPr xmlns="http://schemas.microsoft.com/office/spreadsheetml/2009/9/main" objectType="CheckBox" fmlaLink="$A$12" lockText="1" noThreeD="1"/>
</file>

<file path=xl/ctrlProps/ctrlProp11.xml><?xml version="1.0" encoding="utf-8"?>
<formControlPr xmlns="http://schemas.microsoft.com/office/spreadsheetml/2009/9/main" objectType="CheckBox" fmlaLink="$A$52" lockText="1" noThreeD="1"/>
</file>

<file path=xl/ctrlProps/ctrlProp12.xml><?xml version="1.0" encoding="utf-8"?>
<formControlPr xmlns="http://schemas.microsoft.com/office/spreadsheetml/2009/9/main" objectType="CheckBox" fmlaLink="$A$27" lockText="1" noThreeD="1"/>
</file>

<file path=xl/ctrlProps/ctrlProp13.xml><?xml version="1.0" encoding="utf-8"?>
<formControlPr xmlns="http://schemas.microsoft.com/office/spreadsheetml/2009/9/main" objectType="CheckBox" checked="Checked" fmlaLink="$A$22" lockText="1" noThreeD="1"/>
</file>

<file path=xl/ctrlProps/ctrlProp14.xml><?xml version="1.0" encoding="utf-8"?>
<formControlPr xmlns="http://schemas.microsoft.com/office/spreadsheetml/2009/9/main" objectType="CheckBox" fmlaLink="$A$47" lockText="1" noThreeD="1"/>
</file>

<file path=xl/ctrlProps/ctrlProp15.xml><?xml version="1.0" encoding="utf-8"?>
<formControlPr xmlns="http://schemas.microsoft.com/office/spreadsheetml/2009/9/main" objectType="CheckBox" fmlaLink="$A$32" lockText="1" noThreeD="1"/>
</file>

<file path=xl/ctrlProps/ctrlProp16.xml><?xml version="1.0" encoding="utf-8"?>
<formControlPr xmlns="http://schemas.microsoft.com/office/spreadsheetml/2009/9/main" objectType="CheckBox" fmlaLink="$A$37" lockText="1" noThreeD="1"/>
</file>

<file path=xl/ctrlProps/ctrlProp17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18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19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0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1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2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3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4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5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6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7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8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29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30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31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32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33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34.xml><?xml version="1.0" encoding="utf-8"?>
<formControlPr xmlns="http://schemas.microsoft.com/office/spreadsheetml/2009/9/main" objectType="Drop" dropLines="17" dropStyle="combo" dx="22" fmlaLink="#REF!" fmlaRange="data1!$C$1:$C$50" sel="8" val="0"/>
</file>

<file path=xl/ctrlProps/ctrlProp35.xml><?xml version="1.0" encoding="utf-8"?>
<formControlPr xmlns="http://schemas.microsoft.com/office/spreadsheetml/2009/9/main" objectType="Drop" dropLines="17" dropStyle="combo" dx="22" fmlaLink="#REF!" fmlaRange="data1!$C$1:$C$50" sel="8" val="0"/>
</file>

<file path=xl/dialog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dialog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dialog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500-000000000000}">
  <sheetViews>
    <sheetView showRowColHeaders="0" showZeros="0" showOutlineSymbols="0" workbookViewId="0"/>
  </sheetViews>
  <sheetFormatPr baseColWidth="10" defaultColWidth="1" defaultRowHeight="5.25" customHeight="1"/>
  <sheetProtection sheet="1"/>
  <pageMargins left="0.75" right="0.75" top="1" bottom="1" header="0.5" footer="0.5"/>
  <headerFooter alignWithMargins="0">
    <oddHeader>&amp;A</oddHeader>
    <oddFooter>Page &amp;P</oddFooter>
  </headerFooter>
  <legacyDrawing r:id="rId1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600-000000000000}">
  <sheetViews>
    <sheetView showRowColHeaders="0" showZeros="0" showOutlineSymbols="0" workbookViewId="0"/>
  </sheetViews>
  <sheetFormatPr baseColWidth="10" defaultColWidth="1" defaultRowHeight="5.25" customHeight="1"/>
  <sheetProtection sheet="1"/>
  <pageMargins left="0.75" right="0.75" top="1" bottom="1" header="0.5" footer="0.5"/>
  <headerFooter alignWithMargins="0">
    <oddHeader>&amp;A</oddHeader>
    <oddFooter>Page &amp;P</oddFooter>
  </headerFooter>
  <legacyDrawing r:id="rId1"/>
</dialogsheet>
</file>

<file path=xl/dialogsheets/sheet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700-000000000000}">
  <sheetViews>
    <sheetView showRowColHeaders="0" showZeros="0" showOutlineSymbols="0" workbookViewId="0"/>
  </sheetViews>
  <sheetFormatPr baseColWidth="10" defaultColWidth="1" defaultRowHeight="5.25" customHeight="1"/>
  <sheetProtection sheet="1"/>
  <pageMargins left="0.75" right="0.75" top="1" bottom="1" header="0.5" footer="0.5"/>
  <headerFooter alignWithMargins="0">
    <oddHeader>&amp;A</oddHeader>
    <oddFooter>Page &amp;P</oddFooter>
  </headerFooter>
  <legacyDrawing r:id="rId1"/>
</dialogsheet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25400</xdr:colOff>
          <xdr:row>1</xdr:row>
          <xdr:rowOff>25400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108" name="Drop Down 1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50800</xdr:rowOff>
        </xdr:from>
        <xdr:to>
          <xdr:col>1</xdr:col>
          <xdr:colOff>596900</xdr:colOff>
          <xdr:row>0</xdr:row>
          <xdr:rowOff>254000</xdr:rowOff>
        </xdr:to>
        <xdr:sp macro="" textlink="">
          <xdr:nvSpPr>
            <xdr:cNvPr id="1074" name="Option Button 1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User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241300</xdr:rowOff>
        </xdr:from>
        <xdr:to>
          <xdr:col>1</xdr:col>
          <xdr:colOff>596900</xdr:colOff>
          <xdr:row>0</xdr:row>
          <xdr:rowOff>457200</xdr:rowOff>
        </xdr:to>
        <xdr:sp macro="" textlink="">
          <xdr:nvSpPr>
            <xdr:cNvPr id="1075" name="Option Button 2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Full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25400</xdr:colOff>
          <xdr:row>0</xdr:row>
          <xdr:rowOff>292100</xdr:rowOff>
        </xdr:from>
        <xdr:to>
          <xdr:col>7</xdr:col>
          <xdr:colOff>63500</xdr:colOff>
          <xdr:row>0</xdr:row>
          <xdr:rowOff>495300</xdr:rowOff>
        </xdr:to>
        <xdr:sp macro="" textlink="">
          <xdr:nvSpPr>
            <xdr:cNvPr id="1060" name="Check Box 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dumpline nonscatt.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25400</xdr:colOff>
          <xdr:row>0</xdr:row>
          <xdr:rowOff>76200</xdr:rowOff>
        </xdr:from>
        <xdr:to>
          <xdr:col>7</xdr:col>
          <xdr:colOff>25400</xdr:colOff>
          <xdr:row>0</xdr:row>
          <xdr:rowOff>292100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nonscattering tgt.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101600</xdr:colOff>
          <xdr:row>0</xdr:row>
          <xdr:rowOff>939800</xdr:rowOff>
        </xdr:from>
        <xdr:to>
          <xdr:col>1</xdr:col>
          <xdr:colOff>292100</xdr:colOff>
          <xdr:row>0</xdr:row>
          <xdr:rowOff>1892300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0</xdr:row>
          <xdr:rowOff>1701800</xdr:rowOff>
        </xdr:from>
        <xdr:to>
          <xdr:col>5</xdr:col>
          <xdr:colOff>190500</xdr:colOff>
          <xdr:row>0</xdr:row>
          <xdr:rowOff>1892300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4</xdr:row>
          <xdr:rowOff>12700</xdr:rowOff>
        </xdr:from>
        <xdr:to>
          <xdr:col>4</xdr:col>
          <xdr:colOff>431800</xdr:colOff>
          <xdr:row>5</xdr:row>
          <xdr:rowOff>25400</xdr:rowOff>
        </xdr:to>
        <xdr:sp macro="" textlink="">
          <xdr:nvSpPr>
            <xdr:cNvPr id="1148" name="Drop Dow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444500</xdr:colOff>
          <xdr:row>0</xdr:row>
          <xdr:rowOff>1282700</xdr:rowOff>
        </xdr:from>
        <xdr:to>
          <xdr:col>3</xdr:col>
          <xdr:colOff>139700</xdr:colOff>
          <xdr:row>0</xdr:row>
          <xdr:rowOff>1511300</xdr:rowOff>
        </xdr:to>
        <xdr:sp macro="" textlink="">
          <xdr:nvSpPr>
            <xdr:cNvPr id="1053" name="Check Box 5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3366FF" mc:Ignorable="a14" a14:legacySpreadsheetColorIndex="48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cryo tgt window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457200</xdr:colOff>
          <xdr:row>0</xdr:row>
          <xdr:rowOff>63500</xdr:rowOff>
        </xdr:from>
        <xdr:to>
          <xdr:col>2</xdr:col>
          <xdr:colOff>381000</xdr:colOff>
          <xdr:row>0</xdr:row>
          <xdr:rowOff>266700</xdr:rowOff>
        </xdr:to>
        <xdr:sp macro="" textlink="">
          <xdr:nvSpPr>
            <xdr:cNvPr id="1061" name="Check Box 6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radiator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444500</xdr:colOff>
          <xdr:row>0</xdr:row>
          <xdr:rowOff>1714500</xdr:rowOff>
        </xdr:from>
        <xdr:to>
          <xdr:col>4</xdr:col>
          <xdr:colOff>12700</xdr:colOff>
          <xdr:row>0</xdr:row>
          <xdr:rowOff>1930400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dumpline scattering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444500</xdr:colOff>
          <xdr:row>0</xdr:row>
          <xdr:rowOff>558800</xdr:rowOff>
        </xdr:from>
        <xdr:to>
          <xdr:col>3</xdr:col>
          <xdr:colOff>25400</xdr:colOff>
          <xdr:row>0</xdr:row>
          <xdr:rowOff>774700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add'l target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444500</xdr:colOff>
          <xdr:row>0</xdr:row>
          <xdr:rowOff>342900</xdr:rowOff>
        </xdr:from>
        <xdr:to>
          <xdr:col>3</xdr:col>
          <xdr:colOff>25400</xdr:colOff>
          <xdr:row>0</xdr:row>
          <xdr:rowOff>558800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add'l target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444500</xdr:colOff>
          <xdr:row>0</xdr:row>
          <xdr:rowOff>1511300</xdr:rowOff>
        </xdr:from>
        <xdr:to>
          <xdr:col>2</xdr:col>
          <xdr:colOff>571500</xdr:colOff>
          <xdr:row>0</xdr:row>
          <xdr:rowOff>1727200</xdr:rowOff>
        </xdr:to>
        <xdr:sp macro="" textlink="">
          <xdr:nvSpPr>
            <xdr:cNvPr id="1111" name="Check Box 1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exit window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444500</xdr:colOff>
          <xdr:row>0</xdr:row>
          <xdr:rowOff>762000</xdr:rowOff>
        </xdr:from>
        <xdr:to>
          <xdr:col>3</xdr:col>
          <xdr:colOff>25400</xdr:colOff>
          <xdr:row>0</xdr:row>
          <xdr:rowOff>977900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add'l target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444500</xdr:colOff>
          <xdr:row>0</xdr:row>
          <xdr:rowOff>952500</xdr:rowOff>
        </xdr:from>
        <xdr:to>
          <xdr:col>3</xdr:col>
          <xdr:colOff>25400</xdr:colOff>
          <xdr:row>0</xdr:row>
          <xdr:rowOff>1168400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add'l target 4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85725</xdr:colOff>
      <xdr:row>0</xdr:row>
      <xdr:rowOff>28575</xdr:rowOff>
    </xdr:from>
    <xdr:to>
      <xdr:col>19</xdr:col>
      <xdr:colOff>295275</xdr:colOff>
      <xdr:row>0</xdr:row>
      <xdr:rowOff>1933575</xdr:rowOff>
    </xdr:to>
    <xdr:sp macro="" textlink="">
      <xdr:nvSpPr>
        <xdr:cNvPr id="1176" name="Text 8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 txBox="1">
          <a:spLocks noChangeArrowheads="1"/>
        </xdr:cNvSpPr>
      </xdr:nvSpPr>
      <xdr:spPr bwMode="auto">
        <a:xfrm>
          <a:off x="4286250" y="28575"/>
          <a:ext cx="5591175" cy="1905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     </a:t>
          </a:r>
          <a:r>
            <a:rPr lang="en-US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 INSTRUCTIONS: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1. Choose the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Hall letter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A, or C  (cell B2).  The default targets will be installed automaticaly.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2. Mark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Check Boxes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 the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Control Panel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(top left coner) according to the targets you need in the experiment.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3. Choose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Number of Setups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in the right top cell of the table (row # 5).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4. Fill in blue cells of the table. Leave 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element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field blank, if the target is not present in a given setup. Use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Full information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switch in the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Control Panel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to specify position of targets, to check element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A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and to show default hidden targets and parameters.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5. Push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CALCULATE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button. Results will appear in the red cells few seconds later.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6.  To print the table, push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Print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button.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438150</xdr:colOff>
      <xdr:row>59374</xdr:row>
      <xdr:rowOff>38100</xdr:rowOff>
    </xdr:from>
    <xdr:to>
      <xdr:col>240</xdr:col>
      <xdr:colOff>752475</xdr:colOff>
      <xdr:row>59467</xdr:row>
      <xdr:rowOff>19050</xdr:rowOff>
    </xdr:to>
    <xdr:sp macro="" textlink="">
      <xdr:nvSpPr>
        <xdr:cNvPr id="2068" name="Drop Down 20" hidden="1">
          <a:extLst>
            <a:ext uri="{63B3BB69-23CF-44E3-9099-C40C66FF867C}">
              <a14:compatExt xmlns:a14="http://schemas.microsoft.com/office/drawing/2010/main" spid="_x0000_s2068"/>
            </a:ex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69" name="Drop Dow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" name="Drop Dow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3" name="Drop Down -1022" hidden="1">
              <a:extLst>
                <a:ext uri="{63B3BB69-23CF-44E3-9099-C40C66FF867C}">
                  <a14:compatExt spid="_x0000_s3"/>
                </a:ex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1" name="Drop Dow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2" name="Drop Down -1022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3" name="Drop Dow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5" name="Drop Dow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3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3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3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3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355600</xdr:colOff>
          <xdr:row>59374</xdr:row>
          <xdr:rowOff>25400</xdr:rowOff>
        </xdr:from>
        <xdr:to>
          <xdr:col>240</xdr:col>
          <xdr:colOff>596900</xdr:colOff>
          <xdr:row>59467</xdr:row>
          <xdr:rowOff>12700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3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3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736600</xdr:colOff>
          <xdr:row>59374</xdr:row>
          <xdr:rowOff>63500</xdr:rowOff>
        </xdr:from>
        <xdr:to>
          <xdr:col>240</xdr:col>
          <xdr:colOff>1257300</xdr:colOff>
          <xdr:row>59467</xdr:row>
          <xdr:rowOff>38100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3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444500</xdr:colOff>
          <xdr:row>59374</xdr:row>
          <xdr:rowOff>38100</xdr:rowOff>
        </xdr:from>
        <xdr:to>
          <xdr:col>240</xdr:col>
          <xdr:colOff>749300</xdr:colOff>
          <xdr:row>59467</xdr:row>
          <xdr:rowOff>25400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3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4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J128"/>
  <sheetViews>
    <sheetView tabSelected="1" topLeftCell="BD85" zoomScale="400" zoomScaleNormal="400" workbookViewId="0">
      <selection activeCell="BD85" sqref="BD85"/>
    </sheetView>
  </sheetViews>
  <sheetFormatPr baseColWidth="10" defaultColWidth="11.5" defaultRowHeight="14"/>
  <cols>
    <col min="1" max="1" width="13.1640625" style="28" customWidth="1"/>
    <col min="2" max="2" width="13" style="28" customWidth="1"/>
    <col min="3" max="3" width="10" style="28" customWidth="1"/>
    <col min="4" max="10" width="6.6640625" style="28" customWidth="1"/>
    <col min="11" max="18" width="6.6640625" style="58" customWidth="1"/>
    <col min="19" max="19" width="6.83203125" style="58" customWidth="1"/>
    <col min="20" max="23" width="6.6640625" style="58" customWidth="1"/>
    <col min="24" max="24" width="6.6640625" style="28" customWidth="1"/>
    <col min="25" max="25" width="6.83203125" style="58" customWidth="1"/>
    <col min="26" max="27" width="6.6640625" style="28" customWidth="1"/>
    <col min="28" max="28" width="6.6640625" style="58" customWidth="1"/>
    <col min="29" max="31" width="6.83203125" style="58" customWidth="1"/>
    <col min="32" max="32" width="6.6640625" style="28" customWidth="1"/>
    <col min="33" max="33" width="6.83203125" style="58" customWidth="1"/>
    <col min="34" max="35" width="6.6640625" style="28" customWidth="1"/>
    <col min="36" max="36" width="6.6640625" style="58" customWidth="1"/>
    <col min="37" max="39" width="6.83203125" style="58" customWidth="1"/>
    <col min="40" max="40" width="6.6640625" style="28" customWidth="1"/>
    <col min="41" max="41" width="6.83203125" style="58" customWidth="1"/>
    <col min="42" max="43" width="6.6640625" style="28" customWidth="1"/>
    <col min="44" max="44" width="6.6640625" style="58" customWidth="1"/>
    <col min="45" max="47" width="6.83203125" style="58" customWidth="1"/>
    <col min="48" max="48" width="6.6640625" style="28" customWidth="1"/>
    <col min="49" max="49" width="6.83203125" style="58" customWidth="1"/>
    <col min="50" max="51" width="6.6640625" style="28" customWidth="1"/>
    <col min="52" max="52" width="6.6640625" style="58" customWidth="1"/>
    <col min="53" max="53" width="6.6640625" style="28" customWidth="1"/>
    <col min="54" max="54" width="6.6640625" style="58" customWidth="1"/>
    <col min="55" max="55" width="83.6640625" style="59" customWidth="1"/>
    <col min="56" max="56" width="24.33203125" style="59" customWidth="1"/>
    <col min="57" max="57" width="83.6640625" style="59" customWidth="1"/>
    <col min="58" max="58" width="6.6640625" style="59" customWidth="1"/>
    <col min="59" max="16384" width="11.5" style="28"/>
  </cols>
  <sheetData>
    <row r="1" spans="1:62" s="58" customFormat="1" ht="162" customHeight="1" thickBot="1">
      <c r="A1" s="180">
        <v>1</v>
      </c>
      <c r="B1" s="181">
        <v>1</v>
      </c>
      <c r="C1" s="178"/>
      <c r="D1" s="178"/>
      <c r="E1" s="178"/>
      <c r="F1" s="178"/>
      <c r="G1" s="179"/>
      <c r="H1" s="91">
        <v>4</v>
      </c>
      <c r="I1" s="149" t="str">
        <f>INDEX(material,H1)</f>
        <v>He</v>
      </c>
      <c r="J1" s="91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</row>
    <row r="2" spans="1:62" s="58" customFormat="1" ht="25" customHeight="1">
      <c r="A2" s="118" t="s">
        <v>0</v>
      </c>
      <c r="B2" s="142" t="str">
        <f>INDEX(data1!A2:A3,B1)</f>
        <v>A</v>
      </c>
      <c r="C2" s="137"/>
      <c r="D2" s="22"/>
      <c r="E2" s="309"/>
      <c r="F2" s="309"/>
      <c r="G2" s="310" t="s">
        <v>1</v>
      </c>
      <c r="H2" s="311"/>
      <c r="I2" s="311"/>
      <c r="J2" s="311"/>
      <c r="K2" s="311"/>
      <c r="L2" s="311"/>
      <c r="M2" s="311"/>
      <c r="N2" s="311"/>
      <c r="O2" s="312"/>
      <c r="P2" s="313"/>
      <c r="Q2" s="314"/>
      <c r="R2" s="312"/>
      <c r="S2" s="328" t="s">
        <v>2</v>
      </c>
      <c r="T2" s="343" t="str">
        <f>1&amp;" of "&amp;INT((ng+17)/17)</f>
        <v>1 of 1</v>
      </c>
      <c r="U2" s="315"/>
      <c r="V2" s="309"/>
      <c r="W2" s="309"/>
      <c r="X2" s="310" t="s">
        <v>1</v>
      </c>
      <c r="Y2" s="311"/>
      <c r="Z2" s="311"/>
      <c r="AA2" s="311"/>
      <c r="AB2" s="311"/>
      <c r="AC2" s="311"/>
      <c r="AD2" s="311"/>
      <c r="AE2" s="311"/>
      <c r="AF2" s="312"/>
      <c r="AG2" s="313"/>
      <c r="AH2" s="314"/>
      <c r="AI2" s="312"/>
      <c r="AJ2" s="328" t="s">
        <v>2</v>
      </c>
      <c r="AK2" s="343" t="str">
        <f>2&amp;" of "&amp;INT((ng+17)/17)</f>
        <v>2 of 1</v>
      </c>
      <c r="AL2" s="315"/>
      <c r="AM2" s="309"/>
      <c r="AN2" s="309"/>
      <c r="AO2" s="310" t="s">
        <v>1</v>
      </c>
      <c r="AP2" s="311"/>
      <c r="AQ2" s="311"/>
      <c r="AR2" s="311"/>
      <c r="AS2" s="311"/>
      <c r="AT2" s="311"/>
      <c r="AU2" s="311"/>
      <c r="AV2" s="311"/>
      <c r="AW2" s="312"/>
      <c r="AX2" s="313"/>
      <c r="AY2" s="314"/>
      <c r="AZ2" s="312"/>
      <c r="BA2" s="328" t="s">
        <v>2</v>
      </c>
      <c r="BB2" s="341" t="str">
        <f>3&amp;" of "&amp;INT((ng+17)/17)</f>
        <v>3 of 1</v>
      </c>
      <c r="BC2" s="60"/>
      <c r="BD2" s="60"/>
      <c r="BE2" s="60"/>
      <c r="BF2" s="60"/>
    </row>
    <row r="3" spans="1:62" s="58" customFormat="1" ht="25" customHeight="1">
      <c r="A3" s="132" t="s">
        <v>3</v>
      </c>
      <c r="B3" s="326" t="s">
        <v>76</v>
      </c>
      <c r="C3" s="316" t="s">
        <v>4</v>
      </c>
      <c r="D3" s="330"/>
      <c r="E3" s="317"/>
      <c r="F3" s="77"/>
      <c r="G3" s="316" t="s">
        <v>5</v>
      </c>
      <c r="H3" s="462" t="s">
        <v>77</v>
      </c>
      <c r="I3" s="452"/>
      <c r="J3" s="337"/>
      <c r="K3" s="337"/>
      <c r="L3" s="77"/>
      <c r="M3" s="318"/>
      <c r="N3" s="316" t="s">
        <v>6</v>
      </c>
      <c r="O3" s="330" t="s">
        <v>78</v>
      </c>
      <c r="P3" s="330"/>
      <c r="Q3" s="450"/>
      <c r="R3" s="450"/>
      <c r="S3" s="332"/>
      <c r="T3" s="339"/>
      <c r="U3" s="335">
        <f>D3</f>
        <v>0</v>
      </c>
      <c r="V3" s="317"/>
      <c r="W3" s="77"/>
      <c r="X3" s="316" t="s">
        <v>5</v>
      </c>
      <c r="Y3" s="335" t="str">
        <f>H3</f>
        <v>1997-98</v>
      </c>
      <c r="Z3" s="335"/>
      <c r="AA3" s="337"/>
      <c r="AB3" s="337"/>
      <c r="AC3" s="77"/>
      <c r="AD3" s="318"/>
      <c r="AE3" s="316" t="s">
        <v>6</v>
      </c>
      <c r="AF3" s="332" t="str">
        <f>O3</f>
        <v>A.N.Experimenter</v>
      </c>
      <c r="AG3" s="332"/>
      <c r="AH3" s="337"/>
      <c r="AI3" s="337"/>
      <c r="AJ3" s="332"/>
      <c r="AK3" s="339"/>
      <c r="AL3" s="332">
        <f>D3</f>
        <v>0</v>
      </c>
      <c r="AM3" s="317"/>
      <c r="AN3" s="77"/>
      <c r="AO3" s="316" t="s">
        <v>5</v>
      </c>
      <c r="AP3" s="335" t="str">
        <f>H3</f>
        <v>1997-98</v>
      </c>
      <c r="AQ3" s="335"/>
      <c r="AR3" s="337"/>
      <c r="AS3" s="337"/>
      <c r="AT3" s="77"/>
      <c r="AU3" s="318"/>
      <c r="AV3" s="316" t="s">
        <v>6</v>
      </c>
      <c r="AW3" s="332" t="str">
        <f>O3</f>
        <v>A.N.Experimenter</v>
      </c>
      <c r="AX3" s="332"/>
      <c r="AY3" s="337"/>
      <c r="AZ3" s="337"/>
      <c r="BA3" s="332"/>
      <c r="BB3" s="339"/>
      <c r="BC3" s="60"/>
      <c r="BD3" s="60"/>
      <c r="BE3" s="60"/>
      <c r="BF3" s="60"/>
    </row>
    <row r="4" spans="1:62" s="58" customFormat="1" ht="14" customHeight="1" thickBot="1">
      <c r="A4" s="115"/>
      <c r="B4" s="464"/>
      <c r="C4" s="146"/>
      <c r="D4" s="146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3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3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3"/>
      <c r="BC4" s="60"/>
      <c r="BD4" s="60"/>
      <c r="BE4" s="60"/>
      <c r="BF4" s="60"/>
    </row>
    <row r="5" spans="1:62" ht="15" customHeight="1">
      <c r="A5" s="245" t="s">
        <v>7</v>
      </c>
      <c r="B5" s="246"/>
      <c r="C5" s="247"/>
      <c r="D5" s="271">
        <f>C5+1</f>
        <v>1</v>
      </c>
      <c r="E5" s="182">
        <v>1</v>
      </c>
      <c r="F5" s="90">
        <v>1</v>
      </c>
      <c r="G5" s="90"/>
      <c r="H5" s="90"/>
      <c r="I5" s="90"/>
      <c r="J5" s="90"/>
      <c r="K5" s="90"/>
      <c r="L5" s="90">
        <v>1</v>
      </c>
      <c r="M5" s="90"/>
      <c r="N5" s="90"/>
      <c r="O5" s="90"/>
      <c r="P5" s="90"/>
      <c r="Q5" s="90"/>
      <c r="R5" s="90"/>
      <c r="S5" s="91"/>
      <c r="T5" s="92">
        <v>2</v>
      </c>
      <c r="U5" s="91"/>
      <c r="V5" s="91">
        <v>2</v>
      </c>
      <c r="W5" s="91"/>
      <c r="X5" s="90"/>
      <c r="Y5" s="91"/>
      <c r="Z5" s="90"/>
      <c r="AA5" s="90"/>
      <c r="AB5" s="90"/>
      <c r="AC5" s="91"/>
      <c r="AD5" s="91"/>
      <c r="AE5" s="91"/>
      <c r="AF5" s="90"/>
      <c r="AG5" s="91"/>
      <c r="AH5" s="90"/>
      <c r="AI5" s="90"/>
      <c r="AJ5" s="90"/>
      <c r="AK5" s="91"/>
      <c r="AL5" s="91"/>
      <c r="AM5" s="91"/>
      <c r="AN5" s="90"/>
      <c r="AO5" s="91"/>
      <c r="AP5" s="90"/>
      <c r="AQ5" s="90"/>
      <c r="AR5" s="90"/>
      <c r="AS5" s="91"/>
      <c r="AT5" s="91"/>
      <c r="AU5" s="91"/>
      <c r="AV5" s="90"/>
      <c r="AW5" s="91"/>
      <c r="AX5" s="90"/>
      <c r="AY5" s="90"/>
      <c r="AZ5" s="90"/>
      <c r="BA5" s="58"/>
      <c r="BC5" s="58"/>
      <c r="BD5" s="58"/>
      <c r="BE5" s="58"/>
      <c r="BF5" s="58"/>
      <c r="BG5" s="58"/>
      <c r="BH5" s="58"/>
      <c r="BI5" s="58"/>
      <c r="BJ5" s="58"/>
    </row>
    <row r="6" spans="1:62" ht="31" customHeight="1">
      <c r="A6" s="444" t="s">
        <v>8</v>
      </c>
      <c r="B6" s="248" t="s">
        <v>9</v>
      </c>
      <c r="C6" s="249" t="s">
        <v>10</v>
      </c>
      <c r="D6" s="171">
        <v>2.2000000000000002</v>
      </c>
      <c r="E6" s="235" t="s">
        <v>11</v>
      </c>
      <c r="F6" s="70"/>
      <c r="G6" s="70"/>
      <c r="H6" s="70"/>
      <c r="I6" s="70"/>
      <c r="J6" s="70"/>
      <c r="K6" s="70"/>
      <c r="L6" s="70"/>
      <c r="M6" s="70"/>
      <c r="N6" s="70"/>
      <c r="O6" s="70"/>
      <c r="P6" s="59"/>
      <c r="Q6" s="70"/>
      <c r="R6" s="70"/>
      <c r="S6" s="65"/>
      <c r="T6" s="65"/>
      <c r="U6" s="65"/>
      <c r="V6" s="65"/>
      <c r="W6" s="65"/>
      <c r="X6" s="70"/>
      <c r="Y6" s="65"/>
      <c r="Z6" s="70"/>
      <c r="AA6" s="70"/>
      <c r="AB6" s="70"/>
      <c r="AC6" s="65"/>
      <c r="AD6" s="65"/>
      <c r="AE6" s="65"/>
      <c r="AF6" s="70"/>
      <c r="AG6" s="65"/>
      <c r="AH6" s="70"/>
      <c r="AI6" s="70"/>
      <c r="AJ6" s="70"/>
      <c r="AK6" s="65"/>
      <c r="AL6" s="65"/>
      <c r="AM6" s="65"/>
      <c r="AN6" s="70"/>
      <c r="AO6" s="65"/>
      <c r="AP6" s="70"/>
      <c r="AQ6" s="70"/>
      <c r="AR6" s="70"/>
      <c r="AS6" s="65"/>
      <c r="AT6" s="65"/>
      <c r="AU6" s="65"/>
      <c r="AV6" s="70"/>
      <c r="AW6" s="65"/>
      <c r="AX6" s="70"/>
      <c r="AY6" s="70"/>
      <c r="AZ6" s="70"/>
      <c r="BA6" s="58"/>
      <c r="BC6" s="58"/>
      <c r="BD6" s="58"/>
      <c r="BE6" s="58"/>
      <c r="BF6" s="58"/>
      <c r="BG6" s="58"/>
      <c r="BH6" s="58"/>
      <c r="BI6" s="58"/>
      <c r="BJ6" s="58"/>
    </row>
    <row r="7" spans="1:62" ht="15" customHeight="1">
      <c r="A7" s="398"/>
      <c r="B7" s="248" t="s">
        <v>12</v>
      </c>
      <c r="C7" s="249" t="s">
        <v>13</v>
      </c>
      <c r="D7" s="171">
        <v>50</v>
      </c>
      <c r="E7" s="236"/>
      <c r="F7" s="65"/>
      <c r="G7" s="62"/>
      <c r="H7" s="65"/>
      <c r="I7" s="65"/>
      <c r="J7" s="65"/>
      <c r="K7" s="65"/>
      <c r="L7" s="65"/>
      <c r="M7" s="65"/>
      <c r="N7" s="65"/>
      <c r="O7" s="65"/>
      <c r="P7" s="60"/>
      <c r="Q7" s="60"/>
      <c r="R7" s="59"/>
      <c r="S7" s="140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58"/>
      <c r="BC7" s="58"/>
      <c r="BD7" s="58"/>
      <c r="BE7" s="58"/>
      <c r="BF7" s="58"/>
      <c r="BG7" s="58"/>
      <c r="BH7" s="58"/>
      <c r="BI7" s="58"/>
      <c r="BJ7" s="58"/>
    </row>
    <row r="8" spans="1:62" ht="15" hidden="1" customHeight="1">
      <c r="A8" s="399" t="s">
        <v>14</v>
      </c>
      <c r="B8" s="250" t="s">
        <v>15</v>
      </c>
      <c r="C8" s="251"/>
      <c r="D8" s="219" t="s">
        <v>16</v>
      </c>
      <c r="E8" s="236"/>
      <c r="F8" s="59"/>
      <c r="G8" s="65"/>
      <c r="H8" s="68"/>
      <c r="I8" s="65"/>
      <c r="J8" s="68"/>
      <c r="K8" s="65"/>
      <c r="L8" s="68"/>
      <c r="M8" s="65"/>
      <c r="N8" s="68"/>
      <c r="O8" s="65"/>
      <c r="P8" s="65"/>
      <c r="Q8" s="70"/>
      <c r="R8" s="70"/>
      <c r="S8" s="59"/>
      <c r="U8" s="59"/>
      <c r="V8" s="59"/>
      <c r="W8" s="59"/>
      <c r="X8" s="65"/>
      <c r="Y8" s="59"/>
      <c r="Z8" s="68"/>
      <c r="AA8" s="74"/>
      <c r="AB8" s="74"/>
      <c r="AC8" s="59"/>
      <c r="AD8" s="59"/>
      <c r="AE8" s="59"/>
      <c r="AF8" s="65"/>
      <c r="AG8" s="59"/>
      <c r="AH8" s="68"/>
      <c r="AI8" s="74"/>
      <c r="AJ8" s="74"/>
      <c r="AK8" s="59"/>
      <c r="AL8" s="59"/>
      <c r="AM8" s="59"/>
      <c r="AN8" s="65"/>
      <c r="AO8" s="59"/>
      <c r="AP8" s="68"/>
      <c r="AQ8" s="74"/>
      <c r="AR8" s="74"/>
      <c r="AS8" s="59"/>
      <c r="AT8" s="59"/>
      <c r="AU8" s="59"/>
      <c r="AV8" s="65"/>
      <c r="AW8" s="59"/>
      <c r="AX8" s="68"/>
      <c r="AY8" s="74"/>
      <c r="AZ8" s="74"/>
      <c r="BA8" s="58"/>
      <c r="BC8" s="58"/>
      <c r="BD8" s="58"/>
      <c r="BE8" s="58"/>
      <c r="BF8" s="58"/>
      <c r="BG8" s="58"/>
      <c r="BH8" s="58"/>
      <c r="BI8" s="58"/>
      <c r="BJ8" s="58"/>
    </row>
    <row r="9" spans="1:62" ht="15" hidden="1" customHeight="1">
      <c r="A9" s="397"/>
      <c r="B9" s="252" t="s">
        <v>17</v>
      </c>
      <c r="C9" s="249" t="s">
        <v>18</v>
      </c>
      <c r="D9" s="217">
        <v>774</v>
      </c>
      <c r="E9" s="236"/>
      <c r="F9" s="75"/>
      <c r="G9" s="73"/>
      <c r="H9" s="68"/>
      <c r="I9" s="73"/>
      <c r="J9" s="68"/>
      <c r="K9" s="73"/>
      <c r="L9" s="68"/>
      <c r="M9" s="73"/>
      <c r="N9" s="68"/>
      <c r="O9" s="65"/>
      <c r="P9" s="65"/>
      <c r="Q9" s="65"/>
      <c r="R9" s="65"/>
      <c r="S9" s="59"/>
      <c r="U9" s="59"/>
      <c r="V9" s="59"/>
      <c r="W9" s="59"/>
      <c r="X9" s="73"/>
      <c r="Y9" s="59"/>
      <c r="Z9" s="68"/>
      <c r="AA9" s="76"/>
      <c r="AB9" s="70"/>
      <c r="AC9" s="59"/>
      <c r="AD9" s="59"/>
      <c r="AE9" s="59"/>
      <c r="AF9" s="73"/>
      <c r="AG9" s="59"/>
      <c r="AH9" s="68"/>
      <c r="AI9" s="76"/>
      <c r="AJ9" s="70"/>
      <c r="AK9" s="59"/>
      <c r="AL9" s="59"/>
      <c r="AM9" s="59"/>
      <c r="AN9" s="73"/>
      <c r="AO9" s="59"/>
      <c r="AP9" s="68"/>
      <c r="AQ9" s="76"/>
      <c r="AR9" s="70"/>
      <c r="AS9" s="59"/>
      <c r="AT9" s="59"/>
      <c r="AU9" s="59"/>
      <c r="AV9" s="73"/>
      <c r="AW9" s="59"/>
      <c r="AX9" s="68"/>
      <c r="AY9" s="76"/>
      <c r="AZ9" s="70"/>
      <c r="BA9" s="58"/>
      <c r="BC9" s="58"/>
      <c r="BD9" s="58"/>
      <c r="BE9" s="58"/>
      <c r="BF9" s="58"/>
      <c r="BG9" s="58"/>
      <c r="BH9" s="58"/>
      <c r="BI9" s="58"/>
      <c r="BJ9" s="58"/>
    </row>
    <row r="10" spans="1:62" ht="15" hidden="1" customHeight="1">
      <c r="A10" s="400"/>
      <c r="B10" s="253" t="s">
        <v>19</v>
      </c>
      <c r="C10" s="254" t="s">
        <v>20</v>
      </c>
      <c r="D10" s="306">
        <v>-0.5</v>
      </c>
      <c r="E10" s="236"/>
      <c r="F10" s="62"/>
      <c r="G10" s="62"/>
      <c r="H10" s="68"/>
      <c r="I10" s="62"/>
      <c r="J10" s="68"/>
      <c r="K10" s="62"/>
      <c r="L10" s="68"/>
      <c r="M10" s="62"/>
      <c r="N10" s="68"/>
      <c r="O10" s="73"/>
      <c r="P10" s="65"/>
      <c r="Q10" s="65"/>
      <c r="R10" s="65"/>
      <c r="S10" s="59"/>
      <c r="T10" s="64"/>
      <c r="U10" s="59"/>
      <c r="V10" s="59"/>
      <c r="W10" s="59"/>
      <c r="X10" s="62"/>
      <c r="Y10" s="59"/>
      <c r="Z10" s="68"/>
      <c r="AA10" s="65"/>
      <c r="AB10" s="65"/>
      <c r="AC10" s="59"/>
      <c r="AD10" s="59"/>
      <c r="AE10" s="59"/>
      <c r="AF10" s="62"/>
      <c r="AG10" s="59"/>
      <c r="AH10" s="68"/>
      <c r="AI10" s="65"/>
      <c r="AJ10" s="65"/>
      <c r="AK10" s="59"/>
      <c r="AL10" s="59"/>
      <c r="AM10" s="59"/>
      <c r="AN10" s="62"/>
      <c r="AO10" s="59"/>
      <c r="AP10" s="68"/>
      <c r="AQ10" s="65"/>
      <c r="AR10" s="65"/>
      <c r="AS10" s="59"/>
      <c r="AT10" s="59"/>
      <c r="AU10" s="59"/>
      <c r="AV10" s="62"/>
      <c r="AW10" s="59"/>
      <c r="AX10" s="68"/>
      <c r="AY10" s="65"/>
      <c r="AZ10" s="65"/>
      <c r="BA10" s="58"/>
      <c r="BC10" s="58"/>
      <c r="BD10" s="58"/>
      <c r="BE10" s="58"/>
      <c r="BF10" s="58"/>
      <c r="BG10" s="58"/>
      <c r="BH10" s="58"/>
      <c r="BI10" s="58"/>
      <c r="BJ10" s="58"/>
    </row>
    <row r="11" spans="1:62" ht="15" hidden="1" customHeight="1">
      <c r="A11" s="400"/>
      <c r="B11" s="255" t="s">
        <v>21</v>
      </c>
      <c r="C11" s="256"/>
      <c r="D11" s="305">
        <f>INDEX(Z_data,MATCH(D8,[0]!material,0))</f>
        <v>29</v>
      </c>
      <c r="E11" s="236"/>
      <c r="F11" s="69"/>
      <c r="G11" s="69"/>
      <c r="H11" s="68"/>
      <c r="I11" s="69"/>
      <c r="J11" s="68"/>
      <c r="K11" s="69"/>
      <c r="L11" s="68"/>
      <c r="M11" s="69"/>
      <c r="N11" s="68"/>
      <c r="O11" s="73"/>
      <c r="P11" s="65"/>
      <c r="Q11" s="65"/>
      <c r="R11" s="65"/>
      <c r="S11" s="59"/>
      <c r="U11" s="59"/>
      <c r="V11" s="59"/>
      <c r="W11" s="59"/>
      <c r="X11" s="69"/>
      <c r="Y11" s="59"/>
      <c r="Z11" s="68"/>
      <c r="AA11" s="78"/>
      <c r="AB11" s="78"/>
      <c r="AC11" s="59"/>
      <c r="AD11" s="59"/>
      <c r="AE11" s="59"/>
      <c r="AF11" s="69"/>
      <c r="AG11" s="59"/>
      <c r="AH11" s="68"/>
      <c r="AI11" s="78"/>
      <c r="AJ11" s="78"/>
      <c r="AK11" s="59"/>
      <c r="AL11" s="59"/>
      <c r="AM11" s="59"/>
      <c r="AN11" s="69"/>
      <c r="AO11" s="59"/>
      <c r="AP11" s="68"/>
      <c r="AQ11" s="78"/>
      <c r="AR11" s="78"/>
      <c r="AS11" s="59"/>
      <c r="AT11" s="59"/>
      <c r="AU11" s="59"/>
      <c r="AV11" s="69"/>
      <c r="AW11" s="59"/>
      <c r="AX11" s="68"/>
      <c r="AY11" s="78"/>
      <c r="AZ11" s="78"/>
      <c r="BA11" s="58"/>
      <c r="BC11" s="58"/>
      <c r="BD11" s="58"/>
      <c r="BE11" s="58"/>
      <c r="BF11" s="58"/>
      <c r="BG11" s="58"/>
      <c r="BH11" s="58"/>
      <c r="BI11" s="58"/>
      <c r="BJ11" s="58"/>
    </row>
    <row r="12" spans="1:62" ht="15" hidden="1" customHeight="1">
      <c r="A12" s="401" t="b">
        <v>0</v>
      </c>
      <c r="B12" s="255" t="s">
        <v>22</v>
      </c>
      <c r="C12" s="256"/>
      <c r="D12" s="305">
        <f>INDEX(A_data,MATCH(D8,[0]!material,0))</f>
        <v>63.5</v>
      </c>
      <c r="E12" s="236"/>
      <c r="F12" s="72"/>
      <c r="G12" s="59"/>
      <c r="H12" s="68"/>
      <c r="I12" s="59"/>
      <c r="J12" s="68"/>
      <c r="K12" s="59"/>
      <c r="L12" s="68"/>
      <c r="M12" s="59"/>
      <c r="N12" s="68"/>
      <c r="O12" s="73"/>
      <c r="P12" s="65"/>
      <c r="Q12" s="65"/>
      <c r="R12" s="65"/>
      <c r="S12" s="59"/>
      <c r="U12" s="59"/>
      <c r="V12" s="59"/>
      <c r="W12" s="59"/>
      <c r="X12" s="59"/>
      <c r="Y12" s="59"/>
      <c r="Z12" s="68"/>
      <c r="AA12" s="78"/>
      <c r="AB12" s="78"/>
      <c r="AC12" s="59"/>
      <c r="AD12" s="59"/>
      <c r="AE12" s="59"/>
      <c r="AF12" s="59"/>
      <c r="AG12" s="59"/>
      <c r="AH12" s="68"/>
      <c r="AI12" s="78"/>
      <c r="AJ12" s="78"/>
      <c r="AK12" s="59"/>
      <c r="AL12" s="59"/>
      <c r="AM12" s="59"/>
      <c r="AN12" s="59"/>
      <c r="AO12" s="59"/>
      <c r="AP12" s="68"/>
      <c r="AQ12" s="78"/>
      <c r="AR12" s="78"/>
      <c r="AS12" s="59"/>
      <c r="AT12" s="59"/>
      <c r="AU12" s="59"/>
      <c r="AV12" s="59"/>
      <c r="AW12" s="59"/>
      <c r="AX12" s="68"/>
      <c r="AY12" s="78"/>
      <c r="AZ12" s="78"/>
      <c r="BA12" s="58"/>
      <c r="BC12" s="58"/>
      <c r="BD12" s="58"/>
      <c r="BE12" s="58"/>
      <c r="BF12" s="58"/>
      <c r="BG12" s="58"/>
      <c r="BH12" s="58"/>
      <c r="BI12" s="58"/>
      <c r="BJ12" s="58"/>
    </row>
    <row r="13" spans="1:62" ht="15" customHeight="1">
      <c r="A13" s="399" t="s">
        <v>23</v>
      </c>
      <c r="B13" s="250" t="s">
        <v>15</v>
      </c>
      <c r="C13" s="251"/>
      <c r="D13" s="220" t="s">
        <v>16</v>
      </c>
      <c r="E13" s="236"/>
      <c r="F13" s="76"/>
      <c r="G13" s="70"/>
      <c r="H13" s="76"/>
      <c r="I13" s="59"/>
      <c r="J13" s="76"/>
      <c r="K13" s="59"/>
      <c r="L13" s="76"/>
      <c r="N13" s="76"/>
      <c r="O13" s="65"/>
      <c r="P13" s="65"/>
      <c r="Q13" s="65"/>
      <c r="R13" s="65"/>
      <c r="S13" s="59"/>
      <c r="T13" s="64"/>
      <c r="U13" s="59"/>
      <c r="V13" s="59"/>
      <c r="W13" s="59"/>
      <c r="X13" s="58"/>
      <c r="Y13" s="59"/>
      <c r="Z13" s="76"/>
      <c r="AA13" s="76"/>
      <c r="AB13" s="76"/>
      <c r="AC13" s="59"/>
      <c r="AD13" s="59"/>
      <c r="AE13" s="59"/>
      <c r="AF13" s="58"/>
      <c r="AG13" s="59"/>
      <c r="AH13" s="76"/>
      <c r="AI13" s="76"/>
      <c r="AJ13" s="76"/>
      <c r="AK13" s="59"/>
      <c r="AL13" s="59"/>
      <c r="AM13" s="59"/>
      <c r="AN13" s="58"/>
      <c r="AO13" s="59"/>
      <c r="AP13" s="76"/>
      <c r="AQ13" s="76"/>
      <c r="AR13" s="76"/>
      <c r="AS13" s="59"/>
      <c r="AT13" s="59"/>
      <c r="AU13" s="59"/>
      <c r="AV13" s="58"/>
      <c r="AW13" s="59"/>
      <c r="AX13" s="76"/>
      <c r="AY13" s="76"/>
      <c r="AZ13" s="76"/>
      <c r="BA13" s="58"/>
      <c r="BC13" s="58"/>
      <c r="BD13" s="58"/>
      <c r="BE13" s="58"/>
      <c r="BF13" s="58"/>
      <c r="BG13" s="58"/>
      <c r="BH13" s="58"/>
      <c r="BI13" s="58"/>
      <c r="BJ13" s="58"/>
    </row>
    <row r="14" spans="1:62" ht="15" customHeight="1">
      <c r="A14" s="402" t="s">
        <v>27</v>
      </c>
      <c r="B14" s="252" t="s">
        <v>17</v>
      </c>
      <c r="C14" s="249" t="s">
        <v>18</v>
      </c>
      <c r="D14" s="208">
        <v>774</v>
      </c>
      <c r="E14" s="236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59"/>
      <c r="U14" s="59"/>
      <c r="V14" s="59"/>
      <c r="W14" s="59"/>
      <c r="X14" s="65"/>
      <c r="Y14" s="59"/>
      <c r="Z14" s="65"/>
      <c r="AA14" s="65"/>
      <c r="AB14" s="65"/>
      <c r="AC14" s="59"/>
      <c r="AD14" s="59"/>
      <c r="AE14" s="59"/>
      <c r="AF14" s="65"/>
      <c r="AG14" s="59"/>
      <c r="AH14" s="65"/>
      <c r="AI14" s="65"/>
      <c r="AJ14" s="65"/>
      <c r="AK14" s="59"/>
      <c r="AL14" s="59"/>
      <c r="AM14" s="59"/>
      <c r="AN14" s="65"/>
      <c r="AO14" s="59"/>
      <c r="AP14" s="65"/>
      <c r="AQ14" s="65"/>
      <c r="AR14" s="65"/>
      <c r="AS14" s="59"/>
      <c r="AT14" s="59"/>
      <c r="AU14" s="59"/>
      <c r="AV14" s="65"/>
      <c r="AW14" s="59"/>
      <c r="AX14" s="65"/>
      <c r="AY14" s="65"/>
      <c r="AZ14" s="65"/>
      <c r="BA14" s="58"/>
      <c r="BC14" s="58"/>
      <c r="BD14" s="58"/>
      <c r="BE14" s="58"/>
      <c r="BF14" s="58"/>
      <c r="BG14" s="58"/>
      <c r="BH14" s="58"/>
      <c r="BI14" s="58"/>
      <c r="BJ14" s="58"/>
    </row>
    <row r="15" spans="1:62" ht="15" customHeight="1">
      <c r="A15" s="400"/>
      <c r="B15" s="253" t="s">
        <v>19</v>
      </c>
      <c r="C15" s="254" t="s">
        <v>20</v>
      </c>
      <c r="D15" s="171">
        <v>0</v>
      </c>
      <c r="E15" s="236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59"/>
      <c r="U15" s="59"/>
      <c r="V15" s="59"/>
      <c r="W15" s="59"/>
      <c r="X15" s="65"/>
      <c r="Y15" s="59"/>
      <c r="Z15" s="65"/>
      <c r="AA15" s="65"/>
      <c r="AB15" s="65"/>
      <c r="AC15" s="59"/>
      <c r="AD15" s="59"/>
      <c r="AE15" s="59"/>
      <c r="AF15" s="65"/>
      <c r="AG15" s="59"/>
      <c r="AH15" s="65"/>
      <c r="AI15" s="65"/>
      <c r="AJ15" s="65"/>
      <c r="AK15" s="59"/>
      <c r="AL15" s="59"/>
      <c r="AM15" s="59"/>
      <c r="AN15" s="65"/>
      <c r="AO15" s="59"/>
      <c r="AP15" s="65"/>
      <c r="AQ15" s="65"/>
      <c r="AR15" s="65"/>
      <c r="AS15" s="59"/>
      <c r="AT15" s="59"/>
      <c r="AU15" s="59"/>
      <c r="AV15" s="65"/>
      <c r="AW15" s="59"/>
      <c r="AX15" s="65"/>
      <c r="AY15" s="65"/>
      <c r="AZ15" s="65"/>
      <c r="BA15" s="58"/>
      <c r="BC15" s="58"/>
      <c r="BD15" s="58"/>
      <c r="BE15" s="58"/>
      <c r="BF15" s="58"/>
      <c r="BG15" s="58"/>
      <c r="BH15" s="58"/>
      <c r="BI15" s="58"/>
      <c r="BJ15" s="58"/>
    </row>
    <row r="16" spans="1:62" ht="15" customHeight="1">
      <c r="A16" s="400"/>
      <c r="B16" s="255" t="s">
        <v>21</v>
      </c>
      <c r="C16" s="256"/>
      <c r="D16" s="272">
        <f>INDEX(Z_data,MATCH(D13,[0]!material,0))</f>
        <v>29</v>
      </c>
      <c r="E16" s="236"/>
      <c r="F16" s="73"/>
      <c r="G16" s="73"/>
      <c r="H16" s="73"/>
      <c r="I16" s="73"/>
      <c r="J16" s="73"/>
      <c r="K16" s="73"/>
      <c r="L16" s="73"/>
      <c r="M16" s="73"/>
      <c r="N16" s="73"/>
      <c r="O16" s="65"/>
      <c r="P16" s="65"/>
      <c r="Q16" s="65"/>
      <c r="R16" s="65"/>
      <c r="S16" s="59"/>
      <c r="U16" s="59"/>
      <c r="V16" s="59"/>
      <c r="W16" s="59"/>
      <c r="X16" s="73"/>
      <c r="Y16" s="59"/>
      <c r="Z16" s="73"/>
      <c r="AA16" s="73"/>
      <c r="AB16" s="73"/>
      <c r="AC16" s="59"/>
      <c r="AD16" s="59"/>
      <c r="AE16" s="59"/>
      <c r="AF16" s="73"/>
      <c r="AG16" s="59"/>
      <c r="AH16" s="73"/>
      <c r="AI16" s="73"/>
      <c r="AJ16" s="73"/>
      <c r="AK16" s="59"/>
      <c r="AL16" s="59"/>
      <c r="AM16" s="59"/>
      <c r="AN16" s="73"/>
      <c r="AO16" s="59"/>
      <c r="AP16" s="73"/>
      <c r="AQ16" s="73"/>
      <c r="AR16" s="73"/>
      <c r="AS16" s="59"/>
      <c r="AT16" s="59"/>
      <c r="AU16" s="59"/>
      <c r="AV16" s="73"/>
      <c r="AW16" s="59"/>
      <c r="AX16" s="73"/>
      <c r="AY16" s="73"/>
      <c r="AZ16" s="73"/>
      <c r="BA16" s="58"/>
      <c r="BC16" s="58"/>
      <c r="BD16" s="58"/>
      <c r="BE16" s="58"/>
      <c r="BF16" s="58"/>
      <c r="BG16" s="58"/>
      <c r="BH16" s="58"/>
      <c r="BI16" s="58"/>
      <c r="BJ16" s="58"/>
    </row>
    <row r="17" spans="1:62" ht="15" customHeight="1">
      <c r="A17" s="401" t="b">
        <v>1</v>
      </c>
      <c r="B17" s="255" t="s">
        <v>22</v>
      </c>
      <c r="C17" s="256"/>
      <c r="D17" s="272">
        <f>INDEX(A_data,MATCH(D13,[0]!material,0))</f>
        <v>63.5</v>
      </c>
      <c r="E17" s="236"/>
      <c r="F17" s="65"/>
      <c r="G17" s="65"/>
      <c r="H17" s="59"/>
      <c r="I17" s="65"/>
      <c r="J17" s="59"/>
      <c r="K17" s="65"/>
      <c r="M17" s="65"/>
      <c r="O17" s="65"/>
      <c r="P17" s="65"/>
      <c r="Q17" s="65"/>
      <c r="R17" s="65"/>
      <c r="S17" s="59"/>
      <c r="U17" s="59"/>
      <c r="V17" s="59"/>
      <c r="W17" s="59"/>
      <c r="X17" s="65"/>
      <c r="Y17" s="59"/>
      <c r="Z17" s="65"/>
      <c r="AA17" s="65"/>
      <c r="AB17" s="65"/>
      <c r="AC17" s="59"/>
      <c r="AD17" s="59"/>
      <c r="AE17" s="59"/>
      <c r="AF17" s="65"/>
      <c r="AG17" s="59"/>
      <c r="AH17" s="65"/>
      <c r="AI17" s="65"/>
      <c r="AJ17" s="65"/>
      <c r="AK17" s="59"/>
      <c r="AL17" s="59"/>
      <c r="AM17" s="59"/>
      <c r="AN17" s="65"/>
      <c r="AO17" s="59"/>
      <c r="AP17" s="65"/>
      <c r="AQ17" s="65"/>
      <c r="AR17" s="65"/>
      <c r="AS17" s="59"/>
      <c r="AT17" s="59"/>
      <c r="AU17" s="59"/>
      <c r="AV17" s="65"/>
      <c r="AW17" s="59"/>
      <c r="AX17" s="65"/>
      <c r="AY17" s="65"/>
      <c r="AZ17" s="65"/>
      <c r="BA17" s="58"/>
      <c r="BC17" s="58"/>
      <c r="BD17" s="58"/>
      <c r="BE17" s="58"/>
      <c r="BF17" s="58"/>
      <c r="BG17" s="58"/>
      <c r="BH17" s="58"/>
      <c r="BI17" s="58"/>
      <c r="BJ17" s="58"/>
    </row>
    <row r="18" spans="1:62" ht="15" customHeight="1">
      <c r="A18" s="399" t="s">
        <v>28</v>
      </c>
      <c r="B18" s="250" t="s">
        <v>15</v>
      </c>
      <c r="C18" s="251"/>
      <c r="D18" s="219" t="s">
        <v>16</v>
      </c>
      <c r="E18" s="236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65"/>
      <c r="Q18" s="65"/>
      <c r="R18" s="65"/>
      <c r="S18" s="59"/>
      <c r="U18" s="59"/>
      <c r="V18" s="59"/>
      <c r="W18" s="59"/>
      <c r="X18" s="70"/>
      <c r="Y18" s="59"/>
      <c r="Z18" s="70"/>
      <c r="AA18" s="70"/>
      <c r="AC18" s="59"/>
      <c r="AD18" s="59"/>
      <c r="AE18" s="59"/>
      <c r="AF18" s="70"/>
      <c r="AG18" s="59"/>
      <c r="AH18" s="70"/>
      <c r="AI18" s="70"/>
      <c r="AK18" s="59"/>
      <c r="AL18" s="59"/>
      <c r="AM18" s="59"/>
      <c r="AN18" s="70"/>
      <c r="AO18" s="59"/>
      <c r="AP18" s="70"/>
      <c r="AQ18" s="70"/>
      <c r="AS18" s="59"/>
      <c r="AT18" s="59"/>
      <c r="AU18" s="59"/>
      <c r="AV18" s="70"/>
      <c r="AW18" s="59"/>
      <c r="AX18" s="70"/>
      <c r="AY18" s="70"/>
      <c r="BA18" s="58"/>
      <c r="BC18" s="58"/>
      <c r="BD18" s="58"/>
      <c r="BE18" s="58"/>
      <c r="BF18" s="58"/>
      <c r="BG18" s="58"/>
      <c r="BH18" s="58"/>
      <c r="BI18" s="58"/>
      <c r="BJ18" s="58"/>
    </row>
    <row r="19" spans="1:62" ht="15" customHeight="1">
      <c r="A19" s="402" t="s">
        <v>30</v>
      </c>
      <c r="B19" s="252" t="s">
        <v>17</v>
      </c>
      <c r="C19" s="249" t="s">
        <v>18</v>
      </c>
      <c r="D19" s="172">
        <v>774</v>
      </c>
      <c r="E19" s="236"/>
      <c r="F19" s="73"/>
      <c r="G19" s="73"/>
      <c r="H19" s="73"/>
      <c r="I19" s="73"/>
      <c r="J19" s="73"/>
      <c r="K19" s="73"/>
      <c r="L19" s="73"/>
      <c r="M19" s="73"/>
      <c r="N19" s="73"/>
      <c r="O19" s="70"/>
      <c r="P19" s="65"/>
      <c r="Q19" s="65"/>
      <c r="R19" s="65"/>
      <c r="S19" s="65"/>
      <c r="T19" s="65"/>
      <c r="U19" s="65"/>
      <c r="V19" s="65"/>
      <c r="W19" s="65"/>
      <c r="X19" s="73"/>
      <c r="Y19" s="65"/>
      <c r="Z19" s="73"/>
      <c r="AA19" s="73"/>
      <c r="AC19" s="65"/>
      <c r="AD19" s="65"/>
      <c r="AE19" s="65"/>
      <c r="AF19" s="73"/>
      <c r="AG19" s="65"/>
      <c r="AH19" s="73"/>
      <c r="AI19" s="73"/>
      <c r="AK19" s="65"/>
      <c r="AL19" s="65"/>
      <c r="AM19" s="65"/>
      <c r="AN19" s="73"/>
      <c r="AO19" s="65"/>
      <c r="AP19" s="73"/>
      <c r="AQ19" s="73"/>
      <c r="AS19" s="65"/>
      <c r="AT19" s="65"/>
      <c r="AU19" s="65"/>
      <c r="AV19" s="73"/>
      <c r="AW19" s="65"/>
      <c r="AX19" s="73"/>
      <c r="AY19" s="73"/>
      <c r="BA19" s="58"/>
      <c r="BC19" s="58"/>
      <c r="BD19" s="58"/>
      <c r="BE19" s="58"/>
      <c r="BF19" s="58"/>
      <c r="BG19" s="58"/>
      <c r="BH19" s="58"/>
      <c r="BI19" s="58"/>
      <c r="BJ19" s="58"/>
    </row>
    <row r="20" spans="1:62" ht="15" customHeight="1">
      <c r="A20" s="400"/>
      <c r="B20" s="253" t="s">
        <v>19</v>
      </c>
      <c r="C20" s="254" t="s">
        <v>20</v>
      </c>
      <c r="D20" s="171">
        <v>0</v>
      </c>
      <c r="E20" s="236"/>
      <c r="F20" s="72"/>
      <c r="G20" s="72"/>
      <c r="H20" s="68"/>
      <c r="I20" s="72"/>
      <c r="J20" s="68"/>
      <c r="K20" s="72"/>
      <c r="L20" s="68"/>
      <c r="M20" s="72"/>
      <c r="N20" s="68"/>
      <c r="O20" s="65"/>
      <c r="P20" s="65"/>
      <c r="Q20" s="65"/>
      <c r="R20" s="65"/>
      <c r="S20" s="65"/>
      <c r="T20" s="65"/>
      <c r="U20" s="65"/>
      <c r="V20" s="65"/>
      <c r="W20" s="65"/>
      <c r="X20" s="72"/>
      <c r="Y20" s="65"/>
      <c r="Z20" s="72"/>
      <c r="AA20" s="72"/>
      <c r="AC20" s="65"/>
      <c r="AD20" s="65"/>
      <c r="AE20" s="65"/>
      <c r="AF20" s="72"/>
      <c r="AG20" s="65"/>
      <c r="AH20" s="72"/>
      <c r="AI20" s="72"/>
      <c r="AK20" s="65"/>
      <c r="AL20" s="65"/>
      <c r="AM20" s="65"/>
      <c r="AN20" s="72"/>
      <c r="AO20" s="65"/>
      <c r="AP20" s="72"/>
      <c r="AQ20" s="72"/>
      <c r="AS20" s="65"/>
      <c r="AT20" s="65"/>
      <c r="AU20" s="65"/>
      <c r="AV20" s="72"/>
      <c r="AW20" s="65"/>
      <c r="AX20" s="72"/>
      <c r="AY20" s="72"/>
      <c r="BA20" s="58"/>
      <c r="BC20" s="58"/>
      <c r="BD20" s="58"/>
      <c r="BE20" s="58"/>
      <c r="BF20" s="58"/>
      <c r="BG20" s="58"/>
      <c r="BH20" s="58"/>
      <c r="BI20" s="58"/>
      <c r="BJ20" s="58"/>
    </row>
    <row r="21" spans="1:62" ht="15" customHeight="1">
      <c r="A21" s="400"/>
      <c r="B21" s="255" t="s">
        <v>21</v>
      </c>
      <c r="C21" s="256"/>
      <c r="D21" s="272">
        <f>INDEX(Z_data,MATCH(D18,[0]!material,0))</f>
        <v>29</v>
      </c>
      <c r="E21" s="236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C21" s="70"/>
      <c r="AD21" s="70"/>
      <c r="AE21" s="70"/>
      <c r="AF21" s="70"/>
      <c r="AG21" s="70"/>
      <c r="AH21" s="70"/>
      <c r="AI21" s="70"/>
      <c r="AK21" s="70"/>
      <c r="AL21" s="70"/>
      <c r="AM21" s="70"/>
      <c r="AN21" s="70"/>
      <c r="AO21" s="70"/>
      <c r="AP21" s="70"/>
      <c r="AQ21" s="70"/>
      <c r="AS21" s="70"/>
      <c r="AT21" s="70"/>
      <c r="AU21" s="70"/>
      <c r="AV21" s="70"/>
      <c r="AW21" s="70"/>
      <c r="AX21" s="70"/>
      <c r="AY21" s="70"/>
      <c r="BA21" s="58"/>
      <c r="BC21" s="58"/>
      <c r="BD21" s="58"/>
      <c r="BE21" s="58"/>
      <c r="BF21" s="58"/>
      <c r="BG21" s="58"/>
      <c r="BH21" s="58"/>
      <c r="BI21" s="58"/>
      <c r="BJ21" s="58"/>
    </row>
    <row r="22" spans="1:62" ht="15" customHeight="1">
      <c r="A22" s="401" t="b">
        <v>1</v>
      </c>
      <c r="B22" s="255" t="s">
        <v>22</v>
      </c>
      <c r="C22" s="256"/>
      <c r="D22" s="272">
        <f>INDEX(A_data,MATCH(D18,[0]!material,0))</f>
        <v>63.5</v>
      </c>
      <c r="E22" s="236"/>
      <c r="F22" s="79"/>
      <c r="G22" s="79"/>
      <c r="H22" s="79"/>
      <c r="I22" s="79"/>
      <c r="J22" s="79"/>
      <c r="K22" s="79"/>
      <c r="L22" s="79"/>
      <c r="M22" s="79"/>
      <c r="N22" s="79"/>
      <c r="O22" s="71"/>
      <c r="P22" s="70"/>
      <c r="Q22" s="70"/>
      <c r="R22" s="70"/>
      <c r="S22" s="70"/>
      <c r="T22" s="70"/>
      <c r="U22" s="70"/>
      <c r="V22" s="70"/>
      <c r="W22" s="70"/>
      <c r="X22" s="79"/>
      <c r="Y22" s="70"/>
      <c r="Z22" s="79"/>
      <c r="AA22" s="79"/>
      <c r="AC22" s="70"/>
      <c r="AD22" s="70"/>
      <c r="AE22" s="70"/>
      <c r="AF22" s="79"/>
      <c r="AG22" s="70"/>
      <c r="AH22" s="79"/>
      <c r="AI22" s="79"/>
      <c r="AK22" s="70"/>
      <c r="AL22" s="70"/>
      <c r="AM22" s="70"/>
      <c r="AN22" s="79"/>
      <c r="AO22" s="70"/>
      <c r="AP22" s="79"/>
      <c r="AQ22" s="79"/>
      <c r="AS22" s="70"/>
      <c r="AT22" s="70"/>
      <c r="AU22" s="70"/>
      <c r="AV22" s="79"/>
      <c r="AW22" s="70"/>
      <c r="AX22" s="79"/>
      <c r="AY22" s="79"/>
      <c r="BA22" s="58"/>
      <c r="BC22" s="58"/>
      <c r="BD22" s="58"/>
      <c r="BE22" s="58"/>
      <c r="BF22" s="58"/>
      <c r="BG22" s="58"/>
      <c r="BH22" s="58"/>
      <c r="BI22" s="58"/>
      <c r="BJ22" s="58"/>
    </row>
    <row r="23" spans="1:62" ht="15" customHeight="1">
      <c r="A23" s="399" t="s">
        <v>28</v>
      </c>
      <c r="B23" s="250" t="s">
        <v>15</v>
      </c>
      <c r="C23" s="251"/>
      <c r="D23" s="219" t="s">
        <v>79</v>
      </c>
      <c r="E23" s="236"/>
      <c r="F23" s="70"/>
      <c r="G23" s="62"/>
      <c r="H23" s="62"/>
      <c r="I23" s="62"/>
      <c r="J23" s="62"/>
      <c r="K23" s="62"/>
      <c r="L23" s="70"/>
      <c r="M23" s="70"/>
      <c r="N23" s="70"/>
      <c r="O23" s="59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58"/>
      <c r="AA23" s="70"/>
      <c r="AB23" s="70"/>
      <c r="AC23" s="70"/>
      <c r="AD23" s="70"/>
      <c r="AE23" s="70"/>
      <c r="AF23" s="70"/>
      <c r="AG23" s="70"/>
      <c r="AH23" s="58"/>
      <c r="AI23" s="70"/>
      <c r="AJ23" s="70"/>
      <c r="AK23" s="70"/>
      <c r="AL23" s="70"/>
      <c r="AM23" s="70"/>
      <c r="AN23" s="70"/>
      <c r="AO23" s="70"/>
      <c r="AP23" s="58"/>
      <c r="AQ23" s="70"/>
      <c r="AR23" s="70"/>
      <c r="AS23" s="70"/>
      <c r="AT23" s="70"/>
      <c r="AU23" s="70"/>
      <c r="AV23" s="70"/>
      <c r="AW23" s="70"/>
      <c r="AX23" s="58"/>
      <c r="AY23" s="70"/>
      <c r="AZ23" s="70"/>
      <c r="BA23" s="58"/>
      <c r="BC23" s="58"/>
      <c r="BD23" s="58"/>
      <c r="BE23" s="58"/>
      <c r="BF23" s="58"/>
      <c r="BG23" s="58"/>
      <c r="BH23" s="58"/>
      <c r="BI23" s="58"/>
      <c r="BJ23" s="58"/>
    </row>
    <row r="24" spans="1:62" ht="15" customHeight="1">
      <c r="A24" s="397" t="s">
        <v>32</v>
      </c>
      <c r="B24" s="252" t="s">
        <v>17</v>
      </c>
      <c r="C24" s="249" t="s">
        <v>18</v>
      </c>
      <c r="D24" s="172">
        <v>1944</v>
      </c>
      <c r="E24" s="236"/>
      <c r="F24" s="70"/>
      <c r="G24" s="62"/>
      <c r="H24" s="62"/>
      <c r="I24" s="62"/>
      <c r="J24" s="62"/>
      <c r="K24" s="62"/>
      <c r="L24" s="70"/>
      <c r="M24" s="70"/>
      <c r="N24" s="70"/>
      <c r="O24" s="59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58"/>
      <c r="AA24" s="70"/>
      <c r="AB24" s="70"/>
      <c r="AC24" s="70"/>
      <c r="AD24" s="70"/>
      <c r="AE24" s="70"/>
      <c r="AF24" s="70"/>
      <c r="AG24" s="70"/>
      <c r="AH24" s="58"/>
      <c r="AI24" s="70"/>
      <c r="AJ24" s="70"/>
      <c r="AK24" s="70"/>
      <c r="AL24" s="70"/>
      <c r="AM24" s="70"/>
      <c r="AN24" s="70"/>
      <c r="AO24" s="70"/>
      <c r="AP24" s="58"/>
      <c r="AQ24" s="70"/>
      <c r="AR24" s="70"/>
      <c r="AS24" s="70"/>
      <c r="AT24" s="70"/>
      <c r="AU24" s="70"/>
      <c r="AV24" s="70"/>
      <c r="AW24" s="70"/>
      <c r="AX24" s="58"/>
      <c r="AY24" s="70"/>
      <c r="AZ24" s="70"/>
      <c r="BA24" s="58"/>
      <c r="BC24" s="58"/>
      <c r="BD24" s="58"/>
      <c r="BE24" s="58"/>
      <c r="BF24" s="58"/>
      <c r="BG24" s="58"/>
      <c r="BH24" s="58"/>
      <c r="BI24" s="58"/>
      <c r="BJ24" s="58"/>
    </row>
    <row r="25" spans="1:62" ht="15" customHeight="1">
      <c r="A25" s="400"/>
      <c r="B25" s="253" t="s">
        <v>19</v>
      </c>
      <c r="C25" s="254" t="s">
        <v>20</v>
      </c>
      <c r="D25" s="171">
        <v>0</v>
      </c>
      <c r="E25" s="236"/>
      <c r="F25" s="65"/>
      <c r="G25" s="62"/>
      <c r="H25" s="62"/>
      <c r="I25" s="62"/>
      <c r="J25" s="62"/>
      <c r="K25" s="62"/>
      <c r="L25" s="65"/>
      <c r="M25" s="65"/>
      <c r="N25" s="65"/>
      <c r="O25" s="80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58"/>
      <c r="BC25" s="58"/>
      <c r="BD25" s="58"/>
      <c r="BE25" s="58"/>
      <c r="BF25" s="58"/>
      <c r="BG25" s="58"/>
      <c r="BH25" s="58"/>
      <c r="BI25" s="58"/>
      <c r="BJ25" s="58"/>
    </row>
    <row r="26" spans="1:62" ht="15" customHeight="1">
      <c r="A26" s="400"/>
      <c r="B26" s="255" t="s">
        <v>21</v>
      </c>
      <c r="C26" s="256"/>
      <c r="D26" s="272">
        <f>INDEX(Z_data,MATCH(D23,[0]!material,0))</f>
        <v>1</v>
      </c>
      <c r="E26" s="236"/>
      <c r="F26" s="70"/>
      <c r="G26" s="62"/>
      <c r="H26" s="62"/>
      <c r="I26" s="62"/>
      <c r="J26" s="62"/>
      <c r="K26" s="62"/>
      <c r="L26" s="70"/>
      <c r="M26" s="70"/>
      <c r="N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58"/>
      <c r="BC26" s="58"/>
      <c r="BD26" s="58"/>
      <c r="BE26" s="58"/>
      <c r="BF26" s="58"/>
      <c r="BG26" s="58"/>
      <c r="BH26" s="58"/>
      <c r="BI26" s="58"/>
      <c r="BJ26" s="58"/>
    </row>
    <row r="27" spans="1:62" ht="15" customHeight="1">
      <c r="A27" s="401" t="b">
        <v>0</v>
      </c>
      <c r="B27" s="255" t="s">
        <v>22</v>
      </c>
      <c r="C27" s="256"/>
      <c r="D27" s="272">
        <f>INDEX(A_data,MATCH(D23,[0]!material,0))</f>
        <v>2</v>
      </c>
      <c r="E27" s="236"/>
      <c r="F27" s="71"/>
      <c r="G27" s="62"/>
      <c r="H27" s="62"/>
      <c r="I27" s="62"/>
      <c r="J27" s="62"/>
      <c r="K27" s="62"/>
      <c r="L27" s="71"/>
      <c r="M27" s="71"/>
      <c r="N27" s="71"/>
      <c r="P27" s="70"/>
      <c r="Q27" s="70"/>
      <c r="R27" s="70"/>
      <c r="S27" s="70"/>
      <c r="T27" s="70"/>
      <c r="U27" s="70"/>
      <c r="V27" s="70"/>
      <c r="W27" s="70"/>
      <c r="X27" s="71"/>
      <c r="Y27" s="70"/>
      <c r="Z27" s="71"/>
      <c r="AA27" s="71"/>
      <c r="AB27" s="71"/>
      <c r="AC27" s="70"/>
      <c r="AD27" s="70"/>
      <c r="AE27" s="70"/>
      <c r="AF27" s="71"/>
      <c r="AG27" s="70"/>
      <c r="AH27" s="71"/>
      <c r="AI27" s="71"/>
      <c r="AJ27" s="71"/>
      <c r="AK27" s="70"/>
      <c r="AL27" s="70"/>
      <c r="AM27" s="70"/>
      <c r="AN27" s="71"/>
      <c r="AO27" s="70"/>
      <c r="AP27" s="71"/>
      <c r="AQ27" s="71"/>
      <c r="AR27" s="71"/>
      <c r="AS27" s="70"/>
      <c r="AT27" s="70"/>
      <c r="AU27" s="70"/>
      <c r="AV27" s="71"/>
      <c r="AW27" s="70"/>
      <c r="AX27" s="71"/>
      <c r="AY27" s="71"/>
      <c r="AZ27" s="71"/>
      <c r="BA27" s="58"/>
      <c r="BC27" s="58"/>
      <c r="BD27" s="58"/>
      <c r="BE27" s="58"/>
      <c r="BF27" s="58"/>
      <c r="BG27" s="58"/>
      <c r="BH27" s="58"/>
      <c r="BI27" s="58"/>
      <c r="BJ27" s="58"/>
    </row>
    <row r="28" spans="1:62" ht="15" customHeight="1">
      <c r="A28" s="399" t="s">
        <v>28</v>
      </c>
      <c r="B28" s="250" t="s">
        <v>15</v>
      </c>
      <c r="C28" s="251"/>
      <c r="D28" s="219" t="s">
        <v>79</v>
      </c>
      <c r="E28" s="236"/>
      <c r="F28" s="71"/>
      <c r="G28" s="62"/>
      <c r="H28" s="62"/>
      <c r="I28" s="62"/>
      <c r="J28" s="62"/>
      <c r="K28" s="62"/>
      <c r="L28" s="71"/>
      <c r="M28" s="71"/>
      <c r="N28" s="71"/>
      <c r="P28" s="70"/>
      <c r="Q28" s="70"/>
      <c r="R28" s="70"/>
      <c r="S28" s="70"/>
      <c r="T28" s="70"/>
      <c r="U28" s="70"/>
      <c r="V28" s="70"/>
      <c r="W28" s="70"/>
      <c r="X28" s="71"/>
      <c r="Y28" s="70"/>
      <c r="Z28" s="71"/>
      <c r="AA28" s="71"/>
      <c r="AB28" s="71"/>
      <c r="AC28" s="70"/>
      <c r="AD28" s="70"/>
      <c r="AE28" s="70"/>
      <c r="AF28" s="71"/>
      <c r="AG28" s="70"/>
      <c r="AH28" s="71"/>
      <c r="AI28" s="71"/>
      <c r="AJ28" s="71"/>
      <c r="AK28" s="70"/>
      <c r="AL28" s="70"/>
      <c r="AM28" s="70"/>
      <c r="AN28" s="71"/>
      <c r="AO28" s="70"/>
      <c r="AP28" s="71"/>
      <c r="AQ28" s="71"/>
      <c r="AR28" s="71"/>
      <c r="AS28" s="70"/>
      <c r="AT28" s="70"/>
      <c r="AU28" s="70"/>
      <c r="AV28" s="71"/>
      <c r="AW28" s="70"/>
      <c r="AX28" s="71"/>
      <c r="AY28" s="71"/>
      <c r="AZ28" s="71"/>
      <c r="BA28" s="58"/>
      <c r="BC28" s="58"/>
      <c r="BD28" s="58"/>
      <c r="BE28" s="58"/>
      <c r="BF28" s="58"/>
      <c r="BG28" s="58"/>
      <c r="BH28" s="58"/>
      <c r="BI28" s="58"/>
      <c r="BJ28" s="58"/>
    </row>
    <row r="29" spans="1:62" ht="15" customHeight="1">
      <c r="A29" s="397" t="s">
        <v>34</v>
      </c>
      <c r="B29" s="252" t="s">
        <v>17</v>
      </c>
      <c r="C29" s="249" t="s">
        <v>18</v>
      </c>
      <c r="D29" s="172">
        <v>1944</v>
      </c>
      <c r="E29" s="236"/>
      <c r="F29" s="71"/>
      <c r="G29" s="62"/>
      <c r="H29" s="62"/>
      <c r="I29" s="62"/>
      <c r="J29" s="62"/>
      <c r="K29" s="62"/>
      <c r="L29" s="71"/>
      <c r="M29" s="71"/>
      <c r="N29" s="71"/>
      <c r="P29" s="70"/>
      <c r="Q29" s="70"/>
      <c r="R29" s="70"/>
      <c r="S29" s="70"/>
      <c r="T29" s="70"/>
      <c r="U29" s="70"/>
      <c r="V29" s="70"/>
      <c r="W29" s="70"/>
      <c r="X29" s="71"/>
      <c r="Y29" s="70"/>
      <c r="Z29" s="71"/>
      <c r="AA29" s="71"/>
      <c r="AB29" s="71"/>
      <c r="AC29" s="70"/>
      <c r="AD29" s="70"/>
      <c r="AE29" s="70"/>
      <c r="AF29" s="71"/>
      <c r="AG29" s="70"/>
      <c r="AH29" s="71"/>
      <c r="AI29" s="71"/>
      <c r="AJ29" s="71"/>
      <c r="AK29" s="70"/>
      <c r="AL29" s="70"/>
      <c r="AM29" s="70"/>
      <c r="AN29" s="71"/>
      <c r="AO29" s="70"/>
      <c r="AP29" s="71"/>
      <c r="AQ29" s="71"/>
      <c r="AR29" s="71"/>
      <c r="AS29" s="70"/>
      <c r="AT29" s="70"/>
      <c r="AU29" s="70"/>
      <c r="AV29" s="71"/>
      <c r="AW29" s="70"/>
      <c r="AX29" s="71"/>
      <c r="AY29" s="71"/>
      <c r="AZ29" s="71"/>
      <c r="BA29" s="58"/>
      <c r="BC29" s="58"/>
      <c r="BD29" s="58"/>
      <c r="BE29" s="58"/>
      <c r="BF29" s="58"/>
      <c r="BG29" s="58"/>
      <c r="BH29" s="58"/>
      <c r="BI29" s="58"/>
      <c r="BJ29" s="58"/>
    </row>
    <row r="30" spans="1:62" ht="15" customHeight="1">
      <c r="A30" s="400"/>
      <c r="B30" s="253" t="s">
        <v>19</v>
      </c>
      <c r="C30" s="254" t="s">
        <v>20</v>
      </c>
      <c r="D30" s="171">
        <v>0</v>
      </c>
      <c r="E30" s="236"/>
      <c r="F30" s="71"/>
      <c r="G30" s="62"/>
      <c r="H30" s="62"/>
      <c r="I30" s="62"/>
      <c r="J30" s="62"/>
      <c r="K30" s="62"/>
      <c r="L30" s="71"/>
      <c r="M30" s="71"/>
      <c r="N30" s="71"/>
      <c r="P30" s="70"/>
      <c r="Q30" s="70"/>
      <c r="R30" s="70"/>
      <c r="S30" s="70"/>
      <c r="T30" s="70"/>
      <c r="U30" s="70"/>
      <c r="V30" s="70"/>
      <c r="W30" s="70"/>
      <c r="X30" s="71"/>
      <c r="Y30" s="70"/>
      <c r="Z30" s="71"/>
      <c r="AA30" s="71"/>
      <c r="AB30" s="71"/>
      <c r="AC30" s="70"/>
      <c r="AD30" s="70"/>
      <c r="AE30" s="70"/>
      <c r="AF30" s="71"/>
      <c r="AG30" s="70"/>
      <c r="AH30" s="71"/>
      <c r="AI30" s="71"/>
      <c r="AJ30" s="71"/>
      <c r="AK30" s="70"/>
      <c r="AL30" s="70"/>
      <c r="AM30" s="70"/>
      <c r="AN30" s="71"/>
      <c r="AO30" s="70"/>
      <c r="AP30" s="71"/>
      <c r="AQ30" s="71"/>
      <c r="AR30" s="71"/>
      <c r="AS30" s="70"/>
      <c r="AT30" s="70"/>
      <c r="AU30" s="70"/>
      <c r="AV30" s="71"/>
      <c r="AW30" s="70"/>
      <c r="AX30" s="71"/>
      <c r="AY30" s="71"/>
      <c r="AZ30" s="71"/>
      <c r="BA30" s="58"/>
      <c r="BC30" s="58"/>
      <c r="BD30" s="58"/>
      <c r="BE30" s="58"/>
      <c r="BF30" s="58"/>
      <c r="BG30" s="58"/>
      <c r="BH30" s="58"/>
      <c r="BI30" s="58"/>
      <c r="BJ30" s="58"/>
    </row>
    <row r="31" spans="1:62" ht="15" customHeight="1">
      <c r="A31" s="400"/>
      <c r="B31" s="255" t="s">
        <v>21</v>
      </c>
      <c r="C31" s="256"/>
      <c r="D31" s="272">
        <f>INDEX(Z_data,MATCH(D28,[0]!material,0))</f>
        <v>1</v>
      </c>
      <c r="E31" s="236"/>
      <c r="F31" s="71"/>
      <c r="G31" s="62"/>
      <c r="H31" s="62"/>
      <c r="I31" s="62"/>
      <c r="J31" s="62"/>
      <c r="K31" s="62"/>
      <c r="L31" s="71"/>
      <c r="M31" s="71"/>
      <c r="N31" s="71"/>
      <c r="P31" s="70"/>
      <c r="Q31" s="70"/>
      <c r="R31" s="70"/>
      <c r="S31" s="70"/>
      <c r="T31" s="70"/>
      <c r="U31" s="70"/>
      <c r="V31" s="70"/>
      <c r="W31" s="70"/>
      <c r="X31" s="71"/>
      <c r="Y31" s="70"/>
      <c r="Z31" s="71"/>
      <c r="AA31" s="71"/>
      <c r="AB31" s="71"/>
      <c r="AC31" s="70"/>
      <c r="AD31" s="70"/>
      <c r="AE31" s="70"/>
      <c r="AF31" s="71"/>
      <c r="AG31" s="70"/>
      <c r="AH31" s="71"/>
      <c r="AI31" s="71"/>
      <c r="AJ31" s="71"/>
      <c r="AK31" s="70"/>
      <c r="AL31" s="70"/>
      <c r="AM31" s="70"/>
      <c r="AN31" s="71"/>
      <c r="AO31" s="70"/>
      <c r="AP31" s="71"/>
      <c r="AQ31" s="71"/>
      <c r="AR31" s="71"/>
      <c r="AS31" s="70"/>
      <c r="AT31" s="70"/>
      <c r="AU31" s="70"/>
      <c r="AV31" s="71"/>
      <c r="AW31" s="70"/>
      <c r="AX31" s="71"/>
      <c r="AY31" s="71"/>
      <c r="AZ31" s="71"/>
      <c r="BA31" s="58"/>
      <c r="BC31" s="58"/>
      <c r="BD31" s="58"/>
      <c r="BE31" s="58"/>
      <c r="BF31" s="58"/>
      <c r="BG31" s="58"/>
      <c r="BH31" s="58"/>
      <c r="BI31" s="58"/>
      <c r="BJ31" s="58"/>
    </row>
    <row r="32" spans="1:62" ht="15" customHeight="1">
      <c r="A32" s="401" t="b">
        <v>0</v>
      </c>
      <c r="B32" s="255" t="s">
        <v>22</v>
      </c>
      <c r="C32" s="256"/>
      <c r="D32" s="272">
        <f>INDEX(A_data,MATCH(D28,[0]!material,0))</f>
        <v>2</v>
      </c>
      <c r="E32" s="236"/>
      <c r="F32" s="71"/>
      <c r="G32" s="62"/>
      <c r="H32" s="62"/>
      <c r="I32" s="62"/>
      <c r="J32" s="62"/>
      <c r="K32" s="62"/>
      <c r="L32" s="71"/>
      <c r="M32" s="71"/>
      <c r="N32" s="71"/>
      <c r="P32" s="70"/>
      <c r="Q32" s="70"/>
      <c r="R32" s="70"/>
      <c r="S32" s="70"/>
      <c r="T32" s="70"/>
      <c r="U32" s="70"/>
      <c r="V32" s="70"/>
      <c r="W32" s="70"/>
      <c r="X32" s="71"/>
      <c r="Y32" s="70"/>
      <c r="Z32" s="71"/>
      <c r="AA32" s="71"/>
      <c r="AB32" s="71"/>
      <c r="AC32" s="70"/>
      <c r="AD32" s="70"/>
      <c r="AE32" s="70"/>
      <c r="AF32" s="71"/>
      <c r="AG32" s="70"/>
      <c r="AH32" s="71"/>
      <c r="AI32" s="71"/>
      <c r="AJ32" s="71"/>
      <c r="AK32" s="70"/>
      <c r="AL32" s="70"/>
      <c r="AM32" s="70"/>
      <c r="AN32" s="71"/>
      <c r="AO32" s="70"/>
      <c r="AP32" s="71"/>
      <c r="AQ32" s="71"/>
      <c r="AR32" s="71"/>
      <c r="AS32" s="70"/>
      <c r="AT32" s="70"/>
      <c r="AU32" s="70"/>
      <c r="AV32" s="71"/>
      <c r="AW32" s="70"/>
      <c r="AX32" s="71"/>
      <c r="AY32" s="71"/>
      <c r="AZ32" s="71"/>
      <c r="BA32" s="58"/>
      <c r="BC32" s="58"/>
      <c r="BD32" s="58"/>
      <c r="BE32" s="58"/>
      <c r="BF32" s="58"/>
      <c r="BG32" s="58"/>
      <c r="BH32" s="58"/>
      <c r="BI32" s="58"/>
      <c r="BJ32" s="58"/>
    </row>
    <row r="33" spans="1:62" ht="15" customHeight="1">
      <c r="A33" s="399" t="s">
        <v>28</v>
      </c>
      <c r="B33" s="250" t="s">
        <v>15</v>
      </c>
      <c r="C33" s="251"/>
      <c r="D33" s="219" t="s">
        <v>79</v>
      </c>
      <c r="E33" s="236"/>
      <c r="F33" s="71"/>
      <c r="G33" s="62"/>
      <c r="H33" s="62"/>
      <c r="I33" s="62"/>
      <c r="J33" s="62"/>
      <c r="K33" s="62"/>
      <c r="L33" s="71"/>
      <c r="M33" s="71"/>
      <c r="N33" s="71"/>
      <c r="P33" s="70"/>
      <c r="Q33" s="70"/>
      <c r="R33" s="70"/>
      <c r="S33" s="70"/>
      <c r="T33" s="70"/>
      <c r="U33" s="70"/>
      <c r="V33" s="70"/>
      <c r="W33" s="70"/>
      <c r="X33" s="71"/>
      <c r="Y33" s="70"/>
      <c r="Z33" s="71"/>
      <c r="AA33" s="71"/>
      <c r="AB33" s="71"/>
      <c r="AC33" s="70"/>
      <c r="AD33" s="70"/>
      <c r="AE33" s="70"/>
      <c r="AF33" s="71"/>
      <c r="AG33" s="70"/>
      <c r="AH33" s="71"/>
      <c r="AI33" s="71"/>
      <c r="AJ33" s="71"/>
      <c r="AK33" s="70"/>
      <c r="AL33" s="70"/>
      <c r="AM33" s="70"/>
      <c r="AN33" s="71"/>
      <c r="AO33" s="70"/>
      <c r="AP33" s="71"/>
      <c r="AQ33" s="71"/>
      <c r="AR33" s="71"/>
      <c r="AS33" s="70"/>
      <c r="AT33" s="70"/>
      <c r="AU33" s="70"/>
      <c r="AV33" s="71"/>
      <c r="AW33" s="70"/>
      <c r="AX33" s="71"/>
      <c r="AY33" s="71"/>
      <c r="AZ33" s="71"/>
      <c r="BA33" s="58"/>
      <c r="BC33" s="58"/>
      <c r="BD33" s="58"/>
      <c r="BE33" s="58"/>
      <c r="BF33" s="58"/>
      <c r="BG33" s="58"/>
      <c r="BH33" s="58"/>
      <c r="BI33" s="58"/>
      <c r="BJ33" s="58"/>
    </row>
    <row r="34" spans="1:62" ht="15" customHeight="1">
      <c r="A34" s="397" t="s">
        <v>36</v>
      </c>
      <c r="B34" s="252" t="s">
        <v>17</v>
      </c>
      <c r="C34" s="249" t="s">
        <v>18</v>
      </c>
      <c r="D34" s="172">
        <v>1944</v>
      </c>
      <c r="E34" s="236"/>
      <c r="F34" s="71"/>
      <c r="G34" s="62"/>
      <c r="H34" s="62"/>
      <c r="I34" s="62"/>
      <c r="J34" s="62"/>
      <c r="K34" s="62"/>
      <c r="L34" s="71"/>
      <c r="M34" s="71"/>
      <c r="N34" s="71"/>
      <c r="P34" s="70"/>
      <c r="Q34" s="70"/>
      <c r="R34" s="70"/>
      <c r="S34" s="70"/>
      <c r="T34" s="70"/>
      <c r="U34" s="70"/>
      <c r="V34" s="70"/>
      <c r="W34" s="70"/>
      <c r="X34" s="71"/>
      <c r="Y34" s="70"/>
      <c r="Z34" s="71"/>
      <c r="AA34" s="71"/>
      <c r="AB34" s="71"/>
      <c r="AC34" s="70"/>
      <c r="AD34" s="70"/>
      <c r="AE34" s="70"/>
      <c r="AF34" s="71"/>
      <c r="AG34" s="70"/>
      <c r="AH34" s="71"/>
      <c r="AI34" s="71"/>
      <c r="AJ34" s="71"/>
      <c r="AK34" s="70"/>
      <c r="AL34" s="70"/>
      <c r="AM34" s="70"/>
      <c r="AN34" s="71"/>
      <c r="AO34" s="70"/>
      <c r="AP34" s="71"/>
      <c r="AQ34" s="71"/>
      <c r="AR34" s="71"/>
      <c r="AS34" s="70"/>
      <c r="AT34" s="70"/>
      <c r="AU34" s="70"/>
      <c r="AV34" s="71"/>
      <c r="AW34" s="70"/>
      <c r="AX34" s="71"/>
      <c r="AY34" s="71"/>
      <c r="AZ34" s="71"/>
      <c r="BA34" s="58"/>
      <c r="BC34" s="58"/>
      <c r="BD34" s="58"/>
      <c r="BE34" s="58"/>
      <c r="BF34" s="58"/>
      <c r="BG34" s="58"/>
      <c r="BH34" s="58"/>
      <c r="BI34" s="58"/>
      <c r="BJ34" s="58"/>
    </row>
    <row r="35" spans="1:62" ht="15" customHeight="1">
      <c r="A35" s="400"/>
      <c r="B35" s="253" t="s">
        <v>19</v>
      </c>
      <c r="C35" s="254" t="s">
        <v>20</v>
      </c>
      <c r="D35" s="171">
        <v>0</v>
      </c>
      <c r="E35" s="236"/>
      <c r="F35" s="71"/>
      <c r="G35" s="62"/>
      <c r="H35" s="62"/>
      <c r="I35" s="62"/>
      <c r="J35" s="62"/>
      <c r="K35" s="62"/>
      <c r="L35" s="71"/>
      <c r="M35" s="71"/>
      <c r="N35" s="71"/>
      <c r="P35" s="70"/>
      <c r="Q35" s="70"/>
      <c r="R35" s="70"/>
      <c r="S35" s="70"/>
      <c r="T35" s="70"/>
      <c r="U35" s="70"/>
      <c r="V35" s="70"/>
      <c r="W35" s="70"/>
      <c r="X35" s="71"/>
      <c r="Y35" s="70"/>
      <c r="Z35" s="71"/>
      <c r="AA35" s="71"/>
      <c r="AB35" s="71"/>
      <c r="AC35" s="70"/>
      <c r="AD35" s="70"/>
      <c r="AE35" s="70"/>
      <c r="AF35" s="71"/>
      <c r="AG35" s="70"/>
      <c r="AH35" s="71"/>
      <c r="AI35" s="71"/>
      <c r="AJ35" s="71"/>
      <c r="AK35" s="70"/>
      <c r="AL35" s="70"/>
      <c r="AM35" s="70"/>
      <c r="AN35" s="71"/>
      <c r="AO35" s="70"/>
      <c r="AP35" s="71"/>
      <c r="AQ35" s="71"/>
      <c r="AR35" s="71"/>
      <c r="AS35" s="70"/>
      <c r="AT35" s="70"/>
      <c r="AU35" s="70"/>
      <c r="AV35" s="71"/>
      <c r="AW35" s="70"/>
      <c r="AX35" s="71"/>
      <c r="AY35" s="71"/>
      <c r="AZ35" s="71"/>
      <c r="BA35" s="58"/>
      <c r="BC35" s="58"/>
      <c r="BD35" s="58"/>
      <c r="BE35" s="58"/>
      <c r="BF35" s="58"/>
      <c r="BG35" s="58"/>
      <c r="BH35" s="58"/>
      <c r="BI35" s="58"/>
      <c r="BJ35" s="58"/>
    </row>
    <row r="36" spans="1:62" ht="15" customHeight="1">
      <c r="A36" s="400"/>
      <c r="B36" s="255" t="s">
        <v>21</v>
      </c>
      <c r="C36" s="256"/>
      <c r="D36" s="272">
        <f>INDEX(Z_data,MATCH(D33,[0]!material,0))</f>
        <v>1</v>
      </c>
      <c r="E36" s="236"/>
      <c r="F36" s="71"/>
      <c r="G36" s="62"/>
      <c r="H36" s="62"/>
      <c r="I36" s="62"/>
      <c r="J36" s="62"/>
      <c r="K36" s="62"/>
      <c r="L36" s="71"/>
      <c r="M36" s="71"/>
      <c r="N36" s="71"/>
      <c r="P36" s="70"/>
      <c r="Q36" s="70"/>
      <c r="R36" s="70"/>
      <c r="S36" s="70"/>
      <c r="T36" s="70"/>
      <c r="U36" s="70"/>
      <c r="V36" s="70"/>
      <c r="W36" s="70"/>
      <c r="X36" s="71"/>
      <c r="Y36" s="70"/>
      <c r="Z36" s="71"/>
      <c r="AA36" s="71"/>
      <c r="AB36" s="71"/>
      <c r="AC36" s="70"/>
      <c r="AD36" s="70"/>
      <c r="AE36" s="70"/>
      <c r="AF36" s="71"/>
      <c r="AG36" s="70"/>
      <c r="AH36" s="71"/>
      <c r="AI36" s="71"/>
      <c r="AJ36" s="71"/>
      <c r="AK36" s="70"/>
      <c r="AL36" s="70"/>
      <c r="AM36" s="70"/>
      <c r="AN36" s="71"/>
      <c r="AO36" s="70"/>
      <c r="AP36" s="71"/>
      <c r="AQ36" s="71"/>
      <c r="AR36" s="71"/>
      <c r="AS36" s="70"/>
      <c r="AT36" s="70"/>
      <c r="AU36" s="70"/>
      <c r="AV36" s="71"/>
      <c r="AW36" s="70"/>
      <c r="AX36" s="71"/>
      <c r="AY36" s="71"/>
      <c r="AZ36" s="71"/>
      <c r="BA36" s="58"/>
      <c r="BC36" s="58"/>
      <c r="BD36" s="58"/>
      <c r="BE36" s="58"/>
      <c r="BF36" s="58"/>
      <c r="BG36" s="58"/>
      <c r="BH36" s="58"/>
      <c r="BI36" s="58"/>
      <c r="BJ36" s="58"/>
    </row>
    <row r="37" spans="1:62" ht="15" customHeight="1">
      <c r="A37" s="401" t="b">
        <v>0</v>
      </c>
      <c r="B37" s="255" t="s">
        <v>22</v>
      </c>
      <c r="C37" s="256"/>
      <c r="D37" s="272">
        <f>INDEX(A_data,MATCH(D33,[0]!material,0))</f>
        <v>2</v>
      </c>
      <c r="E37" s="236"/>
      <c r="F37" s="71"/>
      <c r="G37" s="62"/>
      <c r="H37" s="62"/>
      <c r="I37" s="62"/>
      <c r="J37" s="62"/>
      <c r="K37" s="62"/>
      <c r="L37" s="71"/>
      <c r="M37" s="71"/>
      <c r="N37" s="71"/>
      <c r="P37" s="70"/>
      <c r="Q37" s="70"/>
      <c r="R37" s="70"/>
      <c r="S37" s="70"/>
      <c r="T37" s="70"/>
      <c r="U37" s="70"/>
      <c r="V37" s="70"/>
      <c r="W37" s="70"/>
      <c r="X37" s="71"/>
      <c r="Y37" s="70"/>
      <c r="Z37" s="71"/>
      <c r="AA37" s="71"/>
      <c r="AB37" s="71"/>
      <c r="AC37" s="70"/>
      <c r="AD37" s="70"/>
      <c r="AE37" s="70"/>
      <c r="AF37" s="71"/>
      <c r="AG37" s="70"/>
      <c r="AH37" s="71"/>
      <c r="AI37" s="71"/>
      <c r="AJ37" s="71"/>
      <c r="AK37" s="70"/>
      <c r="AL37" s="70"/>
      <c r="AM37" s="70"/>
      <c r="AN37" s="71"/>
      <c r="AO37" s="70"/>
      <c r="AP37" s="71"/>
      <c r="AQ37" s="71"/>
      <c r="AR37" s="71"/>
      <c r="AS37" s="70"/>
      <c r="AT37" s="70"/>
      <c r="AU37" s="70"/>
      <c r="AV37" s="71"/>
      <c r="AW37" s="70"/>
      <c r="AX37" s="71"/>
      <c r="AY37" s="71"/>
      <c r="AZ37" s="71"/>
      <c r="BA37" s="58"/>
      <c r="BC37" s="58"/>
      <c r="BD37" s="58"/>
      <c r="BE37" s="58"/>
      <c r="BF37" s="58"/>
      <c r="BG37" s="58"/>
      <c r="BH37" s="58"/>
      <c r="BI37" s="58"/>
      <c r="BJ37" s="58"/>
    </row>
    <row r="38" spans="1:62" ht="15" customHeight="1">
      <c r="A38" s="399" t="s">
        <v>37</v>
      </c>
      <c r="B38" s="250" t="s">
        <v>15</v>
      </c>
      <c r="C38" s="251"/>
      <c r="D38" s="219" t="s">
        <v>26</v>
      </c>
      <c r="E38" s="236"/>
      <c r="F38" s="65"/>
      <c r="G38" s="59"/>
      <c r="H38" s="65"/>
      <c r="I38" s="59"/>
      <c r="J38" s="65"/>
      <c r="K38" s="59"/>
      <c r="L38" s="65"/>
      <c r="N38" s="65"/>
      <c r="P38" s="65"/>
      <c r="Q38" s="81"/>
      <c r="R38" s="81"/>
      <c r="S38" s="81"/>
      <c r="T38" s="81"/>
      <c r="U38" s="81"/>
      <c r="V38" s="81"/>
      <c r="W38" s="81"/>
      <c r="X38" s="58"/>
      <c r="Y38" s="81"/>
      <c r="Z38" s="65"/>
      <c r="AA38" s="65"/>
      <c r="AB38" s="65"/>
      <c r="AC38" s="81"/>
      <c r="AD38" s="81"/>
      <c r="AE38" s="81"/>
      <c r="AF38" s="58"/>
      <c r="AG38" s="81"/>
      <c r="AH38" s="65"/>
      <c r="AI38" s="65"/>
      <c r="AJ38" s="65"/>
      <c r="AK38" s="81"/>
      <c r="AL38" s="81"/>
      <c r="AM38" s="81"/>
      <c r="AN38" s="58"/>
      <c r="AO38" s="81"/>
      <c r="AP38" s="65"/>
      <c r="AQ38" s="65"/>
      <c r="AR38" s="65"/>
      <c r="AS38" s="81"/>
      <c r="AT38" s="81"/>
      <c r="AU38" s="81"/>
      <c r="AV38" s="58"/>
      <c r="AW38" s="81"/>
      <c r="AX38" s="65"/>
      <c r="AY38" s="65"/>
      <c r="AZ38" s="65"/>
      <c r="BA38" s="58"/>
      <c r="BC38" s="58"/>
      <c r="BD38" s="58"/>
      <c r="BE38" s="58"/>
      <c r="BF38" s="58"/>
      <c r="BG38" s="58"/>
      <c r="BH38" s="58"/>
      <c r="BI38" s="58"/>
      <c r="BJ38" s="58"/>
    </row>
    <row r="39" spans="1:62" ht="15" customHeight="1">
      <c r="A39" s="403" t="s">
        <v>38</v>
      </c>
      <c r="B39" s="252" t="s">
        <v>17</v>
      </c>
      <c r="C39" s="249" t="s">
        <v>18</v>
      </c>
      <c r="D39" s="172">
        <v>23.6</v>
      </c>
      <c r="E39" s="236"/>
      <c r="F39" s="71"/>
      <c r="G39" s="70"/>
      <c r="H39" s="70"/>
      <c r="I39" s="70"/>
      <c r="J39" s="70"/>
      <c r="K39" s="70"/>
      <c r="L39" s="70"/>
      <c r="M39" s="70"/>
      <c r="N39" s="70"/>
      <c r="P39" s="59"/>
      <c r="Q39" s="59"/>
      <c r="R39" s="59"/>
      <c r="S39" s="59"/>
      <c r="T39" s="59"/>
      <c r="U39" s="59"/>
      <c r="V39" s="59"/>
      <c r="W39" s="59"/>
      <c r="X39" s="70"/>
      <c r="Y39" s="59"/>
      <c r="Z39" s="82"/>
      <c r="AA39" s="70"/>
      <c r="AB39" s="70"/>
      <c r="AC39" s="59"/>
      <c r="AD39" s="59"/>
      <c r="AE39" s="59"/>
      <c r="AF39" s="70"/>
      <c r="AG39" s="59"/>
      <c r="AH39" s="82"/>
      <c r="AI39" s="70"/>
      <c r="AJ39" s="70"/>
      <c r="AK39" s="59"/>
      <c r="AL39" s="59"/>
      <c r="AM39" s="59"/>
      <c r="AN39" s="70"/>
      <c r="AO39" s="59"/>
      <c r="AP39" s="82"/>
      <c r="AQ39" s="70"/>
      <c r="AR39" s="70"/>
      <c r="AS39" s="59"/>
      <c r="AT39" s="59"/>
      <c r="AU39" s="59"/>
      <c r="AV39" s="70"/>
      <c r="AW39" s="59"/>
      <c r="AX39" s="82"/>
      <c r="AY39" s="70"/>
      <c r="AZ39" s="70"/>
      <c r="BA39" s="58"/>
      <c r="BC39" s="58"/>
      <c r="BD39" s="58"/>
      <c r="BE39" s="58"/>
      <c r="BF39" s="58"/>
      <c r="BG39" s="58"/>
      <c r="BH39" s="58"/>
      <c r="BI39" s="58"/>
      <c r="BJ39" s="58"/>
    </row>
    <row r="40" spans="1:62" ht="15" customHeight="1">
      <c r="A40" s="404"/>
      <c r="B40" s="253" t="s">
        <v>19</v>
      </c>
      <c r="C40" s="254" t="s">
        <v>20</v>
      </c>
      <c r="D40" s="171">
        <v>0</v>
      </c>
      <c r="E40" s="236"/>
      <c r="F40" s="83"/>
      <c r="G40" s="68"/>
      <c r="H40" s="61"/>
      <c r="I40" s="68"/>
      <c r="J40" s="61"/>
      <c r="K40" s="68"/>
      <c r="L40" s="61"/>
      <c r="M40" s="68"/>
      <c r="N40" s="61"/>
      <c r="X40" s="68"/>
      <c r="Z40" s="59"/>
      <c r="AA40" s="63"/>
      <c r="AB40" s="59"/>
      <c r="AF40" s="68"/>
      <c r="AH40" s="59"/>
      <c r="AI40" s="63"/>
      <c r="AJ40" s="59"/>
      <c r="AN40" s="68"/>
      <c r="AP40" s="59"/>
      <c r="AQ40" s="63"/>
      <c r="AR40" s="59"/>
      <c r="AV40" s="68"/>
      <c r="AX40" s="59"/>
      <c r="AY40" s="63"/>
      <c r="AZ40" s="59"/>
      <c r="BA40" s="58"/>
      <c r="BC40" s="58"/>
      <c r="BD40" s="58"/>
      <c r="BE40" s="58"/>
      <c r="BF40" s="58"/>
      <c r="BG40" s="58"/>
      <c r="BH40" s="58"/>
      <c r="BI40" s="58"/>
      <c r="BJ40" s="58"/>
    </row>
    <row r="41" spans="1:62" ht="15" customHeight="1">
      <c r="A41" s="400"/>
      <c r="B41" s="255" t="s">
        <v>21</v>
      </c>
      <c r="C41" s="256"/>
      <c r="D41" s="272">
        <f>INDEX(Z_data,MATCH(D38,[0]!material,0))</f>
        <v>26</v>
      </c>
      <c r="E41" s="236"/>
      <c r="F41" s="59"/>
      <c r="G41" s="59"/>
      <c r="H41" s="59"/>
      <c r="I41" s="59"/>
      <c r="J41" s="59"/>
      <c r="K41" s="59"/>
      <c r="O41" s="59"/>
      <c r="X41" s="58"/>
      <c r="Z41" s="58"/>
      <c r="AA41" s="58"/>
      <c r="AF41" s="58"/>
      <c r="AH41" s="58"/>
      <c r="AI41" s="58"/>
      <c r="AN41" s="58"/>
      <c r="AP41" s="58"/>
      <c r="AQ41" s="58"/>
      <c r="AV41" s="58"/>
      <c r="AX41" s="58"/>
      <c r="AY41" s="58"/>
      <c r="BA41" s="58"/>
      <c r="BC41" s="58"/>
      <c r="BD41" s="58"/>
      <c r="BE41" s="58"/>
      <c r="BF41" s="58"/>
      <c r="BG41" s="58"/>
      <c r="BH41" s="58"/>
      <c r="BI41" s="58"/>
      <c r="BJ41" s="58"/>
    </row>
    <row r="42" spans="1:62" ht="15" customHeight="1">
      <c r="A42" s="401" t="b">
        <v>0</v>
      </c>
      <c r="B42" s="255" t="s">
        <v>22</v>
      </c>
      <c r="C42" s="256"/>
      <c r="D42" s="272">
        <f>INDEX(A_data,MATCH(D38,[0]!material,0))</f>
        <v>56</v>
      </c>
      <c r="E42" s="236"/>
      <c r="F42" s="59"/>
      <c r="G42" s="59"/>
      <c r="H42" s="59"/>
      <c r="I42" s="59"/>
      <c r="J42" s="59"/>
      <c r="K42" s="59"/>
      <c r="X42" s="58"/>
      <c r="Z42" s="58"/>
      <c r="AA42" s="58"/>
      <c r="AF42" s="58"/>
      <c r="AH42" s="58"/>
      <c r="AI42" s="58"/>
      <c r="AN42" s="58"/>
      <c r="AP42" s="58"/>
      <c r="AQ42" s="58"/>
      <c r="AV42" s="58"/>
      <c r="AX42" s="58"/>
      <c r="AY42" s="58"/>
      <c r="BA42" s="58"/>
      <c r="BC42" s="58"/>
      <c r="BD42" s="58"/>
      <c r="BE42" s="58"/>
      <c r="BF42" s="58"/>
      <c r="BG42" s="58"/>
      <c r="BH42" s="58"/>
      <c r="BI42" s="58"/>
      <c r="BJ42" s="58"/>
    </row>
    <row r="43" spans="1:62" ht="15" customHeight="1">
      <c r="A43" s="405" t="s">
        <v>39</v>
      </c>
      <c r="B43" s="253" t="s">
        <v>15</v>
      </c>
      <c r="C43" s="254"/>
      <c r="D43" s="220" t="s">
        <v>33</v>
      </c>
      <c r="E43" s="236"/>
      <c r="F43" s="59"/>
      <c r="G43" s="59"/>
      <c r="H43" s="59"/>
      <c r="I43" s="59"/>
      <c r="J43" s="59"/>
      <c r="K43" s="59"/>
      <c r="X43" s="58"/>
      <c r="Z43" s="58"/>
      <c r="AA43" s="58"/>
      <c r="AF43" s="58"/>
      <c r="AH43" s="58"/>
      <c r="AI43" s="58"/>
      <c r="AN43" s="58"/>
      <c r="AP43" s="58"/>
      <c r="AQ43" s="58"/>
      <c r="AV43" s="58"/>
      <c r="AX43" s="58"/>
      <c r="AY43" s="58"/>
      <c r="BA43" s="58"/>
      <c r="BC43" s="58"/>
      <c r="BD43" s="58"/>
      <c r="BE43" s="58"/>
      <c r="BF43" s="58"/>
      <c r="BG43" s="58"/>
      <c r="BH43" s="58"/>
      <c r="BI43" s="58"/>
      <c r="BJ43" s="58"/>
    </row>
    <row r="44" spans="1:62" ht="15" customHeight="1">
      <c r="A44" s="406" t="s">
        <v>38</v>
      </c>
      <c r="B44" s="253" t="s">
        <v>17</v>
      </c>
      <c r="C44" s="254" t="s">
        <v>18</v>
      </c>
      <c r="D44" s="173">
        <v>70</v>
      </c>
      <c r="E44" s="236"/>
      <c r="F44" s="59"/>
      <c r="G44" s="59"/>
      <c r="H44" s="59"/>
      <c r="I44" s="59"/>
      <c r="J44" s="59"/>
      <c r="K44" s="59"/>
      <c r="X44" s="58"/>
      <c r="Z44" s="58"/>
      <c r="AA44" s="58"/>
      <c r="AF44" s="58"/>
      <c r="AH44" s="58"/>
      <c r="AI44" s="58"/>
      <c r="AN44" s="58"/>
      <c r="AP44" s="58"/>
      <c r="AQ44" s="58"/>
      <c r="AV44" s="58"/>
      <c r="AX44" s="58"/>
      <c r="AY44" s="58"/>
      <c r="BA44" s="58"/>
      <c r="BC44" s="58"/>
      <c r="BD44" s="58"/>
      <c r="BE44" s="58"/>
      <c r="BF44" s="58"/>
      <c r="BG44" s="58"/>
      <c r="BH44" s="58"/>
      <c r="BI44" s="58"/>
      <c r="BJ44" s="58"/>
    </row>
    <row r="45" spans="1:62" ht="15" customHeight="1">
      <c r="A45" s="407"/>
      <c r="B45" s="253" t="s">
        <v>19</v>
      </c>
      <c r="C45" s="254" t="s">
        <v>20</v>
      </c>
      <c r="D45" s="171">
        <v>0</v>
      </c>
      <c r="E45" s="236"/>
      <c r="F45" s="59"/>
      <c r="G45" s="72"/>
      <c r="H45" s="59"/>
      <c r="I45" s="72"/>
      <c r="J45" s="59"/>
      <c r="K45" s="72"/>
      <c r="M45" s="72"/>
      <c r="O45" s="59"/>
      <c r="X45" s="72"/>
      <c r="Z45" s="68"/>
      <c r="AA45" s="58"/>
      <c r="AF45" s="72"/>
      <c r="AH45" s="68"/>
      <c r="AI45" s="58"/>
      <c r="AN45" s="72"/>
      <c r="AP45" s="68"/>
      <c r="AQ45" s="58"/>
      <c r="AV45" s="72"/>
      <c r="AX45" s="68"/>
      <c r="AY45" s="58"/>
      <c r="BA45" s="58"/>
      <c r="BC45" s="58"/>
      <c r="BD45" s="58"/>
      <c r="BE45" s="58"/>
      <c r="BF45" s="58"/>
      <c r="BG45" s="58"/>
      <c r="BH45" s="58"/>
      <c r="BI45" s="58"/>
      <c r="BJ45" s="58"/>
    </row>
    <row r="46" spans="1:62" ht="15" customHeight="1">
      <c r="A46" s="407"/>
      <c r="B46" s="255" t="s">
        <v>21</v>
      </c>
      <c r="C46" s="256"/>
      <c r="D46" s="272">
        <f>INDEX(Z_data,MATCH(D43,material,0))</f>
        <v>13</v>
      </c>
      <c r="E46" s="236"/>
      <c r="F46" s="59"/>
      <c r="G46" s="70"/>
      <c r="H46" s="59"/>
      <c r="I46" s="70"/>
      <c r="J46" s="59"/>
      <c r="K46" s="70"/>
      <c r="L46" s="59"/>
      <c r="M46" s="70"/>
      <c r="N46" s="59"/>
      <c r="O46" s="59"/>
      <c r="P46" s="59"/>
      <c r="Q46" s="59"/>
      <c r="X46" s="70"/>
      <c r="Z46" s="59"/>
      <c r="AA46" s="59"/>
      <c r="AB46" s="59"/>
      <c r="AF46" s="70"/>
      <c r="AH46" s="59"/>
      <c r="AI46" s="59"/>
      <c r="AJ46" s="59"/>
      <c r="AN46" s="70"/>
      <c r="AP46" s="59"/>
      <c r="AQ46" s="59"/>
      <c r="AR46" s="59"/>
      <c r="AV46" s="70"/>
      <c r="AX46" s="59"/>
      <c r="AY46" s="59"/>
      <c r="AZ46" s="59"/>
      <c r="BA46" s="58"/>
      <c r="BC46" s="58"/>
      <c r="BD46" s="58"/>
      <c r="BE46" s="58"/>
      <c r="BF46" s="58"/>
      <c r="BG46" s="58"/>
      <c r="BH46" s="58"/>
      <c r="BI46" s="58"/>
      <c r="BJ46" s="58"/>
    </row>
    <row r="47" spans="1:62" ht="15" customHeight="1">
      <c r="A47" s="408" t="b">
        <v>0</v>
      </c>
      <c r="B47" s="255" t="s">
        <v>22</v>
      </c>
      <c r="C47" s="256"/>
      <c r="D47" s="272">
        <f>INDEX(A_data,MATCH(D43,material,0))</f>
        <v>27</v>
      </c>
      <c r="E47" s="236"/>
      <c r="F47" s="59"/>
      <c r="G47" s="70"/>
      <c r="H47" s="59"/>
      <c r="I47" s="70"/>
      <c r="J47" s="59"/>
      <c r="K47" s="70"/>
      <c r="M47" s="70"/>
      <c r="O47" s="59"/>
      <c r="X47" s="70"/>
      <c r="Z47" s="58"/>
      <c r="AA47" s="58"/>
      <c r="AF47" s="70"/>
      <c r="AH47" s="58"/>
      <c r="AI47" s="58"/>
      <c r="AN47" s="70"/>
      <c r="AP47" s="58"/>
      <c r="AQ47" s="58"/>
      <c r="AV47" s="70"/>
      <c r="AX47" s="58"/>
      <c r="AY47" s="58"/>
      <c r="BA47" s="58"/>
      <c r="BC47" s="58"/>
      <c r="BD47" s="58"/>
      <c r="BE47" s="58"/>
      <c r="BF47" s="58"/>
      <c r="BG47" s="58"/>
      <c r="BH47" s="58"/>
      <c r="BI47" s="58"/>
      <c r="BJ47" s="58"/>
    </row>
    <row r="48" spans="1:62" ht="15" customHeight="1">
      <c r="A48" s="405" t="s">
        <v>40</v>
      </c>
      <c r="B48" s="255" t="s">
        <v>15</v>
      </c>
      <c r="C48" s="256"/>
      <c r="D48" s="220" t="s">
        <v>41</v>
      </c>
      <c r="E48" s="236"/>
      <c r="F48" s="59"/>
      <c r="G48" s="59"/>
      <c r="H48" s="62"/>
      <c r="I48" s="62"/>
      <c r="J48" s="62"/>
      <c r="K48" s="62"/>
      <c r="L48" s="77"/>
      <c r="O48" s="59"/>
      <c r="X48" s="58"/>
      <c r="Z48" s="58"/>
      <c r="AA48" s="58"/>
      <c r="AF48" s="58"/>
      <c r="AH48" s="58"/>
      <c r="AI48" s="58"/>
      <c r="AN48" s="58"/>
      <c r="AP48" s="58"/>
      <c r="AQ48" s="58"/>
      <c r="AV48" s="58"/>
      <c r="AX48" s="58"/>
      <c r="AY48" s="58"/>
      <c r="BA48" s="58"/>
      <c r="BC48" s="58"/>
      <c r="BD48" s="58"/>
      <c r="BE48" s="58"/>
      <c r="BF48" s="58"/>
      <c r="BG48" s="58"/>
      <c r="BH48" s="58"/>
      <c r="BI48" s="58"/>
      <c r="BJ48" s="58"/>
    </row>
    <row r="49" spans="1:62" ht="15" customHeight="1">
      <c r="A49" s="406" t="s">
        <v>42</v>
      </c>
      <c r="B49" s="253" t="s">
        <v>17</v>
      </c>
      <c r="C49" s="254" t="s">
        <v>18</v>
      </c>
      <c r="D49" s="173">
        <v>230</v>
      </c>
      <c r="E49" s="236"/>
      <c r="F49" s="59"/>
      <c r="G49" s="59"/>
      <c r="H49" s="62"/>
      <c r="I49" s="62"/>
      <c r="J49" s="62"/>
      <c r="K49" s="62"/>
      <c r="L49" s="77"/>
      <c r="O49" s="59"/>
      <c r="X49" s="58"/>
      <c r="Z49" s="58"/>
      <c r="AA49" s="58"/>
      <c r="AF49" s="58"/>
      <c r="AH49" s="58"/>
      <c r="AI49" s="58"/>
      <c r="AN49" s="58"/>
      <c r="AP49" s="58"/>
      <c r="AQ49" s="58"/>
      <c r="AV49" s="58"/>
      <c r="AX49" s="58"/>
      <c r="AY49" s="58"/>
      <c r="BA49" s="58"/>
      <c r="BC49" s="58"/>
      <c r="BD49" s="58"/>
      <c r="BE49" s="58"/>
      <c r="BF49" s="58"/>
      <c r="BG49" s="58"/>
      <c r="BH49" s="58"/>
      <c r="BI49" s="58"/>
      <c r="BJ49" s="58"/>
    </row>
    <row r="50" spans="1:62" ht="15" customHeight="1">
      <c r="A50" s="407"/>
      <c r="B50" s="253" t="s">
        <v>19</v>
      </c>
      <c r="C50" s="254" t="s">
        <v>20</v>
      </c>
      <c r="D50" s="171">
        <v>0</v>
      </c>
      <c r="E50" s="236"/>
      <c r="F50" s="59"/>
      <c r="G50" s="59"/>
      <c r="H50" s="62"/>
      <c r="I50" s="62"/>
      <c r="J50" s="62"/>
      <c r="K50" s="62"/>
      <c r="L50" s="77"/>
      <c r="N50" s="59"/>
      <c r="O50" s="59"/>
      <c r="P50" s="59"/>
      <c r="Q50" s="59"/>
      <c r="R50" s="59"/>
      <c r="X50" s="58"/>
      <c r="Z50" s="59"/>
      <c r="AA50" s="59"/>
      <c r="AB50" s="59"/>
      <c r="AF50" s="58"/>
      <c r="AH50" s="59"/>
      <c r="AI50" s="59"/>
      <c r="AJ50" s="59"/>
      <c r="AN50" s="58"/>
      <c r="AP50" s="59"/>
      <c r="AQ50" s="59"/>
      <c r="AR50" s="59"/>
      <c r="AV50" s="58"/>
      <c r="AX50" s="59"/>
      <c r="AY50" s="59"/>
      <c r="AZ50" s="59"/>
      <c r="BA50" s="58"/>
      <c r="BC50" s="58"/>
      <c r="BD50" s="58"/>
      <c r="BE50" s="58"/>
      <c r="BF50" s="58"/>
      <c r="BG50" s="58"/>
      <c r="BH50" s="58"/>
      <c r="BI50" s="58"/>
      <c r="BJ50" s="58"/>
    </row>
    <row r="51" spans="1:62" ht="15" customHeight="1">
      <c r="A51" s="409" t="s">
        <v>43</v>
      </c>
      <c r="B51" s="255" t="s">
        <v>21</v>
      </c>
      <c r="C51" s="256"/>
      <c r="D51" s="272">
        <f>INDEX(Z_data,MATCH(D48,[0]!material,0))</f>
        <v>2</v>
      </c>
      <c r="E51" s="236"/>
      <c r="F51" s="59"/>
      <c r="G51" s="59"/>
      <c r="H51" s="62"/>
      <c r="I51" s="62"/>
      <c r="J51" s="62"/>
      <c r="K51" s="62"/>
      <c r="L51" s="77"/>
      <c r="N51" s="59"/>
      <c r="O51" s="59"/>
      <c r="P51" s="59"/>
      <c r="Q51" s="59"/>
      <c r="R51" s="59"/>
      <c r="X51" s="58"/>
      <c r="Z51" s="59"/>
      <c r="AA51" s="59"/>
      <c r="AB51" s="59"/>
      <c r="AF51" s="58"/>
      <c r="AH51" s="59"/>
      <c r="AI51" s="59"/>
      <c r="AJ51" s="59"/>
      <c r="AN51" s="58"/>
      <c r="AP51" s="59"/>
      <c r="AQ51" s="59"/>
      <c r="AR51" s="59"/>
      <c r="AV51" s="58"/>
      <c r="AX51" s="59"/>
      <c r="AY51" s="59"/>
      <c r="AZ51" s="59"/>
      <c r="BA51" s="58"/>
      <c r="BC51" s="58"/>
      <c r="BD51" s="58"/>
      <c r="BE51" s="58"/>
      <c r="BF51" s="58"/>
      <c r="BG51" s="58"/>
      <c r="BH51" s="58"/>
      <c r="BI51" s="58"/>
      <c r="BJ51" s="58"/>
    </row>
    <row r="52" spans="1:62" ht="15" customHeight="1">
      <c r="A52" s="408" t="b">
        <v>0</v>
      </c>
      <c r="B52" s="255" t="s">
        <v>22</v>
      </c>
      <c r="C52" s="256"/>
      <c r="D52" s="272">
        <f>INDEX(A_data,MATCH(D48,[0]!material,0))</f>
        <v>4</v>
      </c>
      <c r="E52" s="236"/>
      <c r="F52" s="59"/>
      <c r="G52" s="59"/>
      <c r="H52" s="62"/>
      <c r="I52" s="62"/>
      <c r="J52" s="62"/>
      <c r="K52" s="62"/>
      <c r="L52" s="77"/>
      <c r="N52" s="59"/>
      <c r="O52" s="59"/>
      <c r="P52" s="59"/>
      <c r="Q52" s="59"/>
      <c r="R52" s="59"/>
      <c r="X52" s="58"/>
      <c r="Z52" s="59"/>
      <c r="AA52" s="59"/>
      <c r="AB52" s="59"/>
      <c r="AF52" s="58"/>
      <c r="AH52" s="59"/>
      <c r="AI52" s="59"/>
      <c r="AJ52" s="59"/>
      <c r="AN52" s="58"/>
      <c r="AP52" s="59"/>
      <c r="AQ52" s="59"/>
      <c r="AR52" s="59"/>
      <c r="AV52" s="58"/>
      <c r="AX52" s="59"/>
      <c r="AY52" s="59"/>
      <c r="AZ52" s="59"/>
      <c r="BA52" s="58"/>
      <c r="BC52" s="58"/>
      <c r="BD52" s="58"/>
      <c r="BE52" s="58"/>
      <c r="BF52" s="58"/>
      <c r="BG52" s="58"/>
      <c r="BH52" s="58"/>
      <c r="BI52" s="58"/>
      <c r="BJ52" s="58"/>
    </row>
    <row r="53" spans="1:62" ht="15" customHeight="1">
      <c r="A53" s="399" t="s">
        <v>44</v>
      </c>
      <c r="B53" s="250" t="s">
        <v>15</v>
      </c>
      <c r="C53" s="251"/>
      <c r="D53" s="219" t="s">
        <v>41</v>
      </c>
      <c r="E53" s="236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X53" s="59"/>
      <c r="Z53" s="59"/>
      <c r="AA53" s="59"/>
      <c r="AB53" s="59"/>
      <c r="AF53" s="59"/>
      <c r="AH53" s="59"/>
      <c r="AI53" s="59"/>
      <c r="AJ53" s="59"/>
      <c r="AN53" s="59"/>
      <c r="AP53" s="59"/>
      <c r="AQ53" s="59"/>
      <c r="AR53" s="59"/>
      <c r="AV53" s="59"/>
      <c r="AX53" s="59"/>
      <c r="AY53" s="59"/>
      <c r="AZ53" s="59"/>
      <c r="BA53" s="58"/>
      <c r="BC53" s="58"/>
      <c r="BD53" s="58"/>
      <c r="BE53" s="58"/>
      <c r="BF53" s="58"/>
      <c r="BG53" s="58"/>
      <c r="BH53" s="58"/>
      <c r="BI53" s="58"/>
      <c r="BJ53" s="58"/>
    </row>
    <row r="54" spans="1:62" ht="15" customHeight="1">
      <c r="A54" s="397" t="s">
        <v>27</v>
      </c>
      <c r="B54" s="252" t="s">
        <v>17</v>
      </c>
      <c r="C54" s="249" t="s">
        <v>18</v>
      </c>
      <c r="D54" s="172">
        <v>230</v>
      </c>
      <c r="E54" s="236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X54" s="59"/>
      <c r="Z54" s="59"/>
      <c r="AA54" s="59"/>
      <c r="AB54" s="59"/>
      <c r="AF54" s="59"/>
      <c r="AH54" s="59"/>
      <c r="AI54" s="59"/>
      <c r="AJ54" s="59"/>
      <c r="AN54" s="59"/>
      <c r="AP54" s="59"/>
      <c r="AQ54" s="59"/>
      <c r="AR54" s="59"/>
      <c r="AV54" s="59"/>
      <c r="AX54" s="59"/>
      <c r="AY54" s="59"/>
      <c r="AZ54" s="59"/>
      <c r="BA54" s="58"/>
      <c r="BC54" s="58"/>
      <c r="BD54" s="58"/>
      <c r="BE54" s="58"/>
      <c r="BF54" s="58"/>
      <c r="BG54" s="58"/>
      <c r="BH54" s="58"/>
      <c r="BI54" s="58"/>
      <c r="BJ54" s="58"/>
    </row>
    <row r="55" spans="1:62" ht="15" customHeight="1">
      <c r="A55" s="400"/>
      <c r="B55" s="253" t="s">
        <v>19</v>
      </c>
      <c r="C55" s="254" t="s">
        <v>20</v>
      </c>
      <c r="D55" s="273" t="s">
        <v>45</v>
      </c>
      <c r="E55" s="236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X55" s="59"/>
      <c r="Z55" s="59"/>
      <c r="AA55" s="59"/>
      <c r="AB55" s="59"/>
      <c r="AF55" s="59"/>
      <c r="AH55" s="59"/>
      <c r="AI55" s="59"/>
      <c r="AJ55" s="59"/>
      <c r="AN55" s="59"/>
      <c r="AP55" s="59"/>
      <c r="AQ55" s="59"/>
      <c r="AR55" s="59"/>
      <c r="AV55" s="59"/>
      <c r="AX55" s="59"/>
      <c r="AY55" s="59"/>
      <c r="AZ55" s="59"/>
      <c r="BA55" s="58"/>
      <c r="BC55" s="58"/>
      <c r="BD55" s="58"/>
      <c r="BE55" s="58"/>
      <c r="BF55" s="58"/>
      <c r="BG55" s="58"/>
      <c r="BH55" s="58"/>
      <c r="BI55" s="58"/>
      <c r="BJ55" s="58"/>
    </row>
    <row r="56" spans="1:62" ht="15" customHeight="1">
      <c r="A56" s="400"/>
      <c r="B56" s="255" t="s">
        <v>21</v>
      </c>
      <c r="C56" s="256"/>
      <c r="D56" s="272">
        <f>INDEX(Z_data,MATCH(D53,[0]!material,0))</f>
        <v>2</v>
      </c>
      <c r="E56" s="236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X56" s="59"/>
      <c r="Z56" s="59"/>
      <c r="AA56" s="59"/>
      <c r="AB56" s="59"/>
      <c r="AF56" s="59"/>
      <c r="AH56" s="59"/>
      <c r="AI56" s="59"/>
      <c r="AJ56" s="59"/>
      <c r="AN56" s="59"/>
      <c r="AP56" s="59"/>
      <c r="AQ56" s="59"/>
      <c r="AR56" s="59"/>
      <c r="AV56" s="59"/>
      <c r="AX56" s="59"/>
      <c r="AY56" s="59"/>
      <c r="AZ56" s="59"/>
      <c r="BA56" s="58"/>
      <c r="BC56" s="58"/>
      <c r="BD56" s="58"/>
      <c r="BE56" s="58"/>
      <c r="BF56" s="58"/>
      <c r="BG56" s="58"/>
      <c r="BH56" s="58"/>
      <c r="BI56" s="58"/>
      <c r="BJ56" s="58"/>
    </row>
    <row r="57" spans="1:62" ht="15" customHeight="1">
      <c r="A57" s="401" t="b">
        <v>0</v>
      </c>
      <c r="B57" s="255" t="s">
        <v>22</v>
      </c>
      <c r="C57" s="256"/>
      <c r="D57" s="272">
        <f>INDEX(A_data,MATCH(D53,[0]!material,0))</f>
        <v>4</v>
      </c>
      <c r="E57" s="236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X57" s="59"/>
      <c r="Z57" s="59"/>
      <c r="AA57" s="59"/>
      <c r="AB57" s="59"/>
      <c r="AF57" s="59"/>
      <c r="AH57" s="59"/>
      <c r="AI57" s="59"/>
      <c r="AJ57" s="59"/>
      <c r="AN57" s="59"/>
      <c r="AP57" s="59"/>
      <c r="AQ57" s="59"/>
      <c r="AR57" s="59"/>
      <c r="AV57" s="59"/>
      <c r="AX57" s="59"/>
      <c r="AY57" s="59"/>
      <c r="AZ57" s="59"/>
      <c r="BA57" s="58"/>
      <c r="BC57" s="58"/>
      <c r="BD57" s="58"/>
      <c r="BE57" s="58"/>
      <c r="BF57" s="58"/>
      <c r="BG57" s="58"/>
      <c r="BH57" s="58"/>
      <c r="BI57" s="58"/>
      <c r="BJ57" s="58"/>
    </row>
    <row r="58" spans="1:62" ht="15" customHeight="1">
      <c r="A58" s="405" t="s">
        <v>40</v>
      </c>
      <c r="B58" s="255" t="s">
        <v>15</v>
      </c>
      <c r="C58" s="256"/>
      <c r="D58" s="219" t="s">
        <v>41</v>
      </c>
      <c r="E58" s="236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X58" s="59"/>
      <c r="Z58" s="59"/>
      <c r="AA58" s="59"/>
      <c r="AB58" s="59"/>
      <c r="AF58" s="59"/>
      <c r="AH58" s="59"/>
      <c r="AI58" s="59"/>
      <c r="AJ58" s="59"/>
      <c r="AN58" s="59"/>
      <c r="AP58" s="59"/>
      <c r="AQ58" s="59"/>
      <c r="AR58" s="59"/>
      <c r="AV58" s="59"/>
      <c r="AX58" s="59"/>
      <c r="AY58" s="59"/>
      <c r="AZ58" s="59"/>
      <c r="BA58" s="58"/>
      <c r="BC58" s="58"/>
      <c r="BD58" s="58"/>
      <c r="BE58" s="58"/>
      <c r="BF58" s="58"/>
      <c r="BG58" s="58"/>
      <c r="BH58" s="58"/>
      <c r="BI58" s="58"/>
      <c r="BJ58" s="58"/>
    </row>
    <row r="59" spans="1:62" ht="15" customHeight="1">
      <c r="A59" s="406" t="s">
        <v>44</v>
      </c>
      <c r="B59" s="253" t="s">
        <v>17</v>
      </c>
      <c r="C59" s="254" t="s">
        <v>18</v>
      </c>
      <c r="D59" s="173">
        <v>230</v>
      </c>
      <c r="E59" s="236"/>
      <c r="F59" s="59"/>
      <c r="G59" s="59"/>
      <c r="H59" s="59"/>
      <c r="I59" s="59"/>
      <c r="J59" s="59"/>
      <c r="K59" s="59"/>
      <c r="M59" s="59"/>
      <c r="O59" s="59"/>
      <c r="P59" s="59"/>
      <c r="Q59" s="59"/>
      <c r="R59" s="59"/>
      <c r="X59" s="59"/>
      <c r="Z59" s="59"/>
      <c r="AA59" s="59"/>
      <c r="AB59" s="59"/>
      <c r="AF59" s="59"/>
      <c r="AH59" s="59"/>
      <c r="AI59" s="59"/>
      <c r="AJ59" s="59"/>
      <c r="AN59" s="59"/>
      <c r="AP59" s="59"/>
      <c r="AQ59" s="59"/>
      <c r="AR59" s="59"/>
      <c r="AV59" s="59"/>
      <c r="AX59" s="59"/>
      <c r="AY59" s="59"/>
      <c r="AZ59" s="59"/>
      <c r="BA59" s="58"/>
      <c r="BC59" s="58"/>
      <c r="BD59" s="58"/>
      <c r="BE59" s="58"/>
      <c r="BF59" s="58"/>
      <c r="BG59" s="58"/>
      <c r="BH59" s="58"/>
      <c r="BI59" s="58"/>
      <c r="BJ59" s="58"/>
    </row>
    <row r="60" spans="1:62" ht="15" customHeight="1">
      <c r="A60" s="410"/>
      <c r="B60" s="253" t="s">
        <v>19</v>
      </c>
      <c r="C60" s="254" t="s">
        <v>20</v>
      </c>
      <c r="D60" s="273" t="s">
        <v>45</v>
      </c>
      <c r="E60" s="236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X60" s="59"/>
      <c r="Z60" s="59"/>
      <c r="AA60" s="59"/>
      <c r="AB60" s="59"/>
      <c r="AF60" s="59"/>
      <c r="AH60" s="59"/>
      <c r="AI60" s="59"/>
      <c r="AJ60" s="59"/>
      <c r="AN60" s="59"/>
      <c r="AP60" s="59"/>
      <c r="AQ60" s="59"/>
      <c r="AR60" s="59"/>
      <c r="AV60" s="59"/>
      <c r="AX60" s="59"/>
      <c r="AY60" s="59"/>
      <c r="AZ60" s="59"/>
      <c r="BA60" s="58"/>
      <c r="BC60" s="58"/>
      <c r="BD60" s="58"/>
      <c r="BE60" s="58"/>
      <c r="BF60" s="58"/>
      <c r="BG60" s="58"/>
      <c r="BH60" s="58"/>
      <c r="BI60" s="58"/>
      <c r="BJ60" s="58"/>
    </row>
    <row r="61" spans="1:62" ht="15" customHeight="1">
      <c r="A61" s="411" t="s">
        <v>46</v>
      </c>
      <c r="B61" s="255" t="s">
        <v>21</v>
      </c>
      <c r="C61" s="256"/>
      <c r="D61" s="272">
        <f>INDEX(Z_data,MATCH(D58,[0]!material,0))</f>
        <v>2</v>
      </c>
      <c r="E61" s="236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X61" s="59"/>
      <c r="Z61" s="59"/>
      <c r="AA61" s="59"/>
      <c r="AB61" s="59"/>
      <c r="AF61" s="59"/>
      <c r="AH61" s="59"/>
      <c r="AI61" s="59"/>
      <c r="AJ61" s="59"/>
      <c r="AN61" s="59"/>
      <c r="AP61" s="59"/>
      <c r="AQ61" s="59"/>
      <c r="AR61" s="59"/>
      <c r="AV61" s="59"/>
      <c r="AX61" s="59"/>
      <c r="AY61" s="59"/>
      <c r="AZ61" s="59"/>
      <c r="BA61" s="58"/>
      <c r="BC61" s="58"/>
      <c r="BD61" s="58"/>
      <c r="BE61" s="58"/>
      <c r="BF61" s="58"/>
      <c r="BG61" s="58"/>
      <c r="BH61" s="58"/>
      <c r="BI61" s="58"/>
      <c r="BJ61" s="58"/>
    </row>
    <row r="62" spans="1:62" ht="15" customHeight="1">
      <c r="A62" s="412" t="b">
        <v>0</v>
      </c>
      <c r="B62" s="255" t="s">
        <v>22</v>
      </c>
      <c r="C62" s="256"/>
      <c r="D62" s="272">
        <f>INDEX(A_data,MATCH(D58,[0]!material,0))</f>
        <v>4</v>
      </c>
      <c r="E62" s="236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X62" s="59"/>
      <c r="Z62" s="59"/>
      <c r="AA62" s="59"/>
      <c r="AB62" s="59"/>
      <c r="AF62" s="59"/>
      <c r="AH62" s="59"/>
      <c r="AI62" s="59"/>
      <c r="AJ62" s="59"/>
      <c r="AN62" s="59"/>
      <c r="AP62" s="59"/>
      <c r="AQ62" s="59"/>
      <c r="AR62" s="59"/>
      <c r="AV62" s="59"/>
      <c r="AX62" s="59"/>
      <c r="AY62" s="59"/>
      <c r="AZ62" s="59"/>
      <c r="BA62" s="58"/>
      <c r="BC62" s="58"/>
      <c r="BD62" s="58"/>
      <c r="BE62" s="58"/>
      <c r="BF62" s="58"/>
      <c r="BG62" s="58"/>
      <c r="BH62" s="58"/>
      <c r="BI62" s="58"/>
      <c r="BJ62" s="58"/>
    </row>
    <row r="63" spans="1:62" ht="15" customHeight="1">
      <c r="A63" s="413" t="s">
        <v>47</v>
      </c>
      <c r="B63" s="253" t="s">
        <v>48</v>
      </c>
      <c r="C63" s="254" t="s">
        <v>49</v>
      </c>
      <c r="D63" s="174">
        <v>3.125</v>
      </c>
      <c r="E63" s="236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X63" s="59"/>
      <c r="Z63" s="59"/>
      <c r="AA63" s="59"/>
      <c r="AB63" s="59"/>
      <c r="AF63" s="59"/>
      <c r="AH63" s="59"/>
      <c r="AI63" s="59"/>
      <c r="AJ63" s="59"/>
      <c r="AN63" s="59"/>
      <c r="AP63" s="59"/>
      <c r="AQ63" s="59"/>
      <c r="AR63" s="59"/>
      <c r="AV63" s="59"/>
      <c r="AX63" s="59"/>
      <c r="AY63" s="59"/>
      <c r="AZ63" s="59"/>
      <c r="BA63" s="58"/>
      <c r="BC63" s="58"/>
      <c r="BD63" s="58"/>
      <c r="BE63" s="58"/>
      <c r="BF63" s="58"/>
      <c r="BG63" s="58"/>
      <c r="BH63" s="58"/>
      <c r="BI63" s="58"/>
      <c r="BJ63" s="58"/>
    </row>
    <row r="64" spans="1:62" ht="15" customHeight="1">
      <c r="A64" s="414" t="s">
        <v>38</v>
      </c>
      <c r="B64" s="255" t="s">
        <v>19</v>
      </c>
      <c r="C64" s="256" t="s">
        <v>20</v>
      </c>
      <c r="D64" s="306">
        <v>1.25</v>
      </c>
      <c r="E64" s="236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X64" s="59"/>
      <c r="Z64" s="59"/>
      <c r="AA64" s="59"/>
      <c r="AB64" s="59"/>
      <c r="AF64" s="59"/>
      <c r="AH64" s="59"/>
      <c r="AI64" s="59"/>
      <c r="AJ64" s="59"/>
      <c r="AN64" s="59"/>
      <c r="AP64" s="59"/>
      <c r="AQ64" s="59"/>
      <c r="AR64" s="59"/>
      <c r="AV64" s="59"/>
      <c r="AX64" s="59"/>
      <c r="AY64" s="59"/>
      <c r="AZ64" s="59"/>
      <c r="BA64" s="58"/>
      <c r="BC64" s="58"/>
      <c r="BD64" s="58"/>
      <c r="BE64" s="58"/>
      <c r="BF64" s="58"/>
      <c r="BG64" s="58"/>
      <c r="BH64" s="58"/>
      <c r="BI64" s="58"/>
      <c r="BJ64" s="58"/>
    </row>
    <row r="65" spans="1:62" ht="15" customHeight="1" thickBot="1">
      <c r="A65" s="415" t="s">
        <v>50</v>
      </c>
      <c r="B65" s="257"/>
      <c r="C65" s="258"/>
      <c r="D65" s="175">
        <v>0.5</v>
      </c>
      <c r="E65" s="237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X65" s="59"/>
      <c r="Z65" s="59"/>
      <c r="AA65" s="59"/>
      <c r="AB65" s="59"/>
      <c r="AF65" s="59"/>
      <c r="AH65" s="59"/>
      <c r="AI65" s="59"/>
      <c r="AJ65" s="59"/>
      <c r="AN65" s="59"/>
      <c r="AP65" s="59"/>
      <c r="AQ65" s="59"/>
      <c r="AR65" s="59"/>
      <c r="AV65" s="59"/>
      <c r="AX65" s="59"/>
      <c r="AY65" s="59"/>
      <c r="AZ65" s="59"/>
      <c r="BA65" s="58"/>
      <c r="BC65" s="58"/>
      <c r="BD65" s="58"/>
      <c r="BE65" s="58"/>
      <c r="BF65" s="58"/>
      <c r="BG65" s="58"/>
      <c r="BH65" s="58"/>
      <c r="BI65" s="58"/>
      <c r="BJ65" s="58"/>
    </row>
    <row r="66" spans="1:62" ht="15" customHeight="1">
      <c r="A66" s="416"/>
      <c r="B66" s="259" t="s">
        <v>51</v>
      </c>
      <c r="C66" s="260" t="s">
        <v>52</v>
      </c>
      <c r="D66" s="200">
        <v>30</v>
      </c>
      <c r="E66" s="238">
        <f ca="1">SUM(OFFSET(E66,0,-[0]!ng):OFFSET(E66,0,-1))</f>
        <v>30</v>
      </c>
      <c r="F66" s="65"/>
      <c r="G66" s="65"/>
      <c r="H66" s="88"/>
      <c r="I66" s="65"/>
      <c r="J66" s="88"/>
      <c r="K66" s="65"/>
      <c r="L66" s="88"/>
      <c r="M66" s="65"/>
      <c r="N66" s="88"/>
      <c r="O66" s="59"/>
      <c r="P66" s="59"/>
      <c r="Q66" s="59"/>
      <c r="R66" s="59"/>
      <c r="X66" s="65"/>
      <c r="Z66" s="72"/>
      <c r="AA66" s="72"/>
      <c r="AB66" s="72"/>
      <c r="AF66" s="65"/>
      <c r="AH66" s="72"/>
      <c r="AI66" s="72"/>
      <c r="AJ66" s="72"/>
      <c r="AN66" s="65"/>
      <c r="AP66" s="72"/>
      <c r="AQ66" s="72"/>
      <c r="AR66" s="72"/>
      <c r="AV66" s="65"/>
      <c r="AX66" s="72"/>
      <c r="AY66" s="72"/>
      <c r="AZ66" s="72"/>
      <c r="BA66" s="58"/>
      <c r="BC66" s="58"/>
      <c r="BD66" s="58"/>
      <c r="BE66" s="58"/>
      <c r="BF66" s="58"/>
      <c r="BG66" s="58"/>
      <c r="BH66" s="58"/>
      <c r="BI66" s="58"/>
      <c r="BJ66" s="58"/>
    </row>
    <row r="67" spans="1:62" ht="15" customHeight="1">
      <c r="A67" s="444" t="s">
        <v>53</v>
      </c>
      <c r="B67" s="261" t="s">
        <v>54</v>
      </c>
      <c r="C67" s="249" t="s">
        <v>55</v>
      </c>
      <c r="D67" s="228">
        <f>D66/24</f>
        <v>1.25</v>
      </c>
      <c r="E67" s="239">
        <f ca="1">E66/24</f>
        <v>1.25</v>
      </c>
      <c r="F67" s="65"/>
      <c r="G67" s="65"/>
      <c r="H67" s="88"/>
      <c r="I67" s="65"/>
      <c r="J67" s="88"/>
      <c r="K67" s="65"/>
      <c r="L67" s="88"/>
      <c r="M67" s="65"/>
      <c r="N67" s="88"/>
      <c r="O67" s="59"/>
      <c r="P67" s="59"/>
      <c r="Q67" s="59"/>
      <c r="R67" s="59"/>
      <c r="X67" s="65"/>
      <c r="Z67" s="72"/>
      <c r="AA67" s="72"/>
      <c r="AB67" s="72"/>
      <c r="AF67" s="65"/>
      <c r="AH67" s="72"/>
      <c r="AI67" s="72"/>
      <c r="AJ67" s="72"/>
      <c r="AN67" s="65"/>
      <c r="AP67" s="72"/>
      <c r="AQ67" s="72"/>
      <c r="AR67" s="72"/>
      <c r="AV67" s="65"/>
      <c r="AX67" s="72"/>
      <c r="AY67" s="72"/>
      <c r="AZ67" s="72"/>
      <c r="BA67" s="58"/>
      <c r="BC67" s="58"/>
      <c r="BD67" s="58"/>
      <c r="BE67" s="58"/>
      <c r="BF67" s="58"/>
      <c r="BG67" s="58"/>
      <c r="BH67" s="58"/>
      <c r="BI67" s="58"/>
      <c r="BJ67" s="58"/>
    </row>
    <row r="68" spans="1:62" ht="15" customHeight="1">
      <c r="A68" s="417"/>
      <c r="B68" s="262" t="s">
        <v>56</v>
      </c>
      <c r="C68" s="249" t="s">
        <v>52</v>
      </c>
      <c r="D68" s="177"/>
      <c r="E68" s="234">
        <f ca="1">SUM(OFFSET(E68,0,-[0]!ng):OFFSET(E68,0,-1))</f>
        <v>0</v>
      </c>
      <c r="F68" s="65"/>
      <c r="G68" s="65"/>
      <c r="H68" s="88"/>
      <c r="I68" s="65"/>
      <c r="J68" s="88"/>
      <c r="K68" s="65"/>
      <c r="L68" s="88"/>
      <c r="M68" s="65"/>
      <c r="N68" s="88"/>
      <c r="O68" s="59"/>
      <c r="P68" s="59"/>
      <c r="Q68" s="59"/>
      <c r="R68" s="59"/>
      <c r="X68" s="65"/>
      <c r="Z68" s="72"/>
      <c r="AA68" s="72"/>
      <c r="AB68" s="72"/>
      <c r="AF68" s="65"/>
      <c r="AH68" s="72"/>
      <c r="AI68" s="72"/>
      <c r="AJ68" s="72"/>
      <c r="AN68" s="65"/>
      <c r="AP68" s="72"/>
      <c r="AQ68" s="72"/>
      <c r="AR68" s="72"/>
      <c r="AV68" s="65"/>
      <c r="AX68" s="72"/>
      <c r="AY68" s="72"/>
      <c r="AZ68" s="72"/>
      <c r="BA68" s="58"/>
      <c r="BC68" s="58"/>
      <c r="BD68" s="58"/>
      <c r="BE68" s="58"/>
      <c r="BF68" s="58"/>
      <c r="BG68" s="58"/>
      <c r="BH68" s="58"/>
      <c r="BI68" s="58"/>
      <c r="BJ68" s="58"/>
    </row>
    <row r="69" spans="1:62" ht="15" customHeight="1" thickBot="1">
      <c r="A69" s="418"/>
      <c r="B69" s="263" t="s">
        <v>57</v>
      </c>
      <c r="C69" s="264" t="s">
        <v>55</v>
      </c>
      <c r="D69" s="229">
        <f>D68/24</f>
        <v>0</v>
      </c>
      <c r="E69" s="240">
        <f ca="1">E68/24</f>
        <v>0</v>
      </c>
      <c r="F69" s="65"/>
      <c r="G69" s="65"/>
      <c r="H69" s="88"/>
      <c r="I69" s="65"/>
      <c r="J69" s="88"/>
      <c r="K69" s="65"/>
      <c r="L69" s="88"/>
      <c r="M69" s="65"/>
      <c r="N69" s="88"/>
      <c r="O69" s="59"/>
      <c r="P69" s="59"/>
      <c r="Q69" s="59"/>
      <c r="R69" s="59"/>
      <c r="X69" s="65"/>
      <c r="Z69" s="72"/>
      <c r="AA69" s="72"/>
      <c r="AB69" s="72"/>
      <c r="AF69" s="65"/>
      <c r="AH69" s="72"/>
      <c r="AI69" s="72"/>
      <c r="AJ69" s="72"/>
      <c r="AN69" s="65"/>
      <c r="AP69" s="72"/>
      <c r="AQ69" s="72"/>
      <c r="AR69" s="72"/>
      <c r="AV69" s="65"/>
      <c r="AX69" s="72"/>
      <c r="AY69" s="72"/>
      <c r="AZ69" s="72"/>
      <c r="BA69" s="58"/>
      <c r="BC69" s="58"/>
      <c r="BD69" s="58"/>
      <c r="BE69" s="58"/>
      <c r="BF69" s="58"/>
      <c r="BG69" s="58"/>
      <c r="BH69" s="58"/>
      <c r="BI69" s="58"/>
      <c r="BJ69" s="58"/>
    </row>
    <row r="70" spans="1:62" ht="15" customHeight="1">
      <c r="A70" s="389" t="s">
        <v>58</v>
      </c>
      <c r="B70" s="265" t="s">
        <v>59</v>
      </c>
      <c r="C70" s="260" t="s">
        <v>60</v>
      </c>
      <c r="D70" s="230">
        <v>5.9581778208817413</v>
      </c>
      <c r="E70" s="241"/>
      <c r="F70" s="59"/>
      <c r="G70" s="59"/>
      <c r="H70" s="59"/>
      <c r="I70" s="59"/>
      <c r="J70" s="59"/>
      <c r="K70" s="59"/>
      <c r="L70" s="59"/>
      <c r="M70" s="59"/>
      <c r="N70" s="59"/>
      <c r="X70" s="59"/>
      <c r="Z70" s="59"/>
      <c r="AA70" s="59"/>
      <c r="AB70" s="59"/>
      <c r="AF70" s="59"/>
      <c r="AH70" s="59"/>
      <c r="AI70" s="59"/>
      <c r="AJ70" s="59"/>
      <c r="AN70" s="59"/>
      <c r="AP70" s="59"/>
      <c r="AQ70" s="59"/>
      <c r="AR70" s="59"/>
      <c r="AV70" s="59"/>
      <c r="AX70" s="59"/>
      <c r="AY70" s="59"/>
      <c r="AZ70" s="59"/>
      <c r="BA70" s="58"/>
      <c r="BC70" s="58"/>
      <c r="BD70" s="58"/>
      <c r="BE70" s="58"/>
      <c r="BF70" s="58"/>
      <c r="BG70" s="58"/>
      <c r="BH70" s="58"/>
      <c r="BI70" s="58"/>
      <c r="BJ70" s="58"/>
    </row>
    <row r="71" spans="1:62" ht="15" customHeight="1">
      <c r="A71" s="390" t="s">
        <v>61</v>
      </c>
      <c r="B71" s="266" t="s">
        <v>62</v>
      </c>
      <c r="C71" s="249" t="s">
        <v>60</v>
      </c>
      <c r="D71" s="176"/>
      <c r="E71" s="242"/>
      <c r="F71" s="79"/>
      <c r="G71" s="79"/>
      <c r="H71" s="59"/>
      <c r="I71" s="79"/>
      <c r="J71" s="59"/>
      <c r="K71" s="79"/>
      <c r="L71" s="59"/>
      <c r="M71" s="79"/>
      <c r="N71" s="59"/>
      <c r="O71" s="59"/>
      <c r="P71" s="59"/>
      <c r="Q71" s="59"/>
      <c r="R71" s="59"/>
      <c r="X71" s="79"/>
      <c r="Z71" s="59"/>
      <c r="AA71" s="59"/>
      <c r="AB71" s="59"/>
      <c r="AF71" s="79"/>
      <c r="AH71" s="59"/>
      <c r="AI71" s="59"/>
      <c r="AJ71" s="59"/>
      <c r="AN71" s="79"/>
      <c r="AP71" s="59"/>
      <c r="AQ71" s="59"/>
      <c r="AR71" s="59"/>
      <c r="AV71" s="79"/>
      <c r="AX71" s="59"/>
      <c r="AY71" s="59"/>
      <c r="AZ71" s="59"/>
      <c r="BA71" s="58"/>
      <c r="BC71" s="58"/>
      <c r="BD71" s="58"/>
      <c r="BE71" s="58"/>
      <c r="BF71" s="58"/>
      <c r="BG71" s="58"/>
      <c r="BH71" s="58"/>
      <c r="BI71" s="58"/>
      <c r="BJ71" s="58"/>
    </row>
    <row r="72" spans="1:62" ht="15" customHeight="1">
      <c r="A72" s="391" t="s">
        <v>63</v>
      </c>
      <c r="B72" s="267" t="s">
        <v>64</v>
      </c>
      <c r="C72" s="249" t="s">
        <v>60</v>
      </c>
      <c r="D72" s="231">
        <f>MAX(D70:D71)</f>
        <v>5.9581778208817413</v>
      </c>
      <c r="E72" s="243"/>
      <c r="F72" s="70"/>
      <c r="G72" s="70"/>
      <c r="H72" s="70"/>
      <c r="I72" s="70"/>
      <c r="J72" s="70"/>
      <c r="K72" s="70"/>
      <c r="L72" s="70"/>
      <c r="M72" s="70"/>
      <c r="N72" s="70"/>
      <c r="O72" s="59"/>
      <c r="P72" s="59"/>
      <c r="Q72" s="59"/>
      <c r="R72" s="59"/>
      <c r="X72" s="70"/>
      <c r="Z72" s="70"/>
      <c r="AA72" s="70"/>
      <c r="AB72" s="59"/>
      <c r="AF72" s="70"/>
      <c r="AH72" s="70"/>
      <c r="AI72" s="70"/>
      <c r="AJ72" s="59"/>
      <c r="AN72" s="70"/>
      <c r="AP72" s="70"/>
      <c r="AQ72" s="70"/>
      <c r="AR72" s="59"/>
      <c r="AV72" s="70"/>
      <c r="AX72" s="70"/>
      <c r="AY72" s="70"/>
      <c r="AZ72" s="59"/>
      <c r="BA72" s="58"/>
      <c r="BC72" s="58"/>
      <c r="BD72" s="58"/>
      <c r="BE72" s="58"/>
      <c r="BF72" s="58"/>
      <c r="BG72" s="58"/>
      <c r="BH72" s="58"/>
      <c r="BI72" s="58"/>
      <c r="BJ72" s="58"/>
    </row>
    <row r="73" spans="1:62" ht="15" customHeight="1">
      <c r="A73" s="268" t="s">
        <v>65</v>
      </c>
      <c r="B73" s="266"/>
      <c r="C73" s="249" t="s">
        <v>66</v>
      </c>
      <c r="D73" s="461">
        <f>D$72*D$66</f>
        <v>178.74533462645223</v>
      </c>
      <c r="E73" s="234">
        <f ca="1">SUM(OFFSET(E73,0,-[0]!ng):OFFSET(E73,0,-1))</f>
        <v>178.74533462645223</v>
      </c>
      <c r="F73" s="70"/>
      <c r="G73" s="70"/>
      <c r="H73" s="70"/>
      <c r="I73" s="70"/>
      <c r="J73" s="70"/>
      <c r="K73" s="70"/>
      <c r="L73" s="70"/>
      <c r="M73" s="70"/>
      <c r="N73" s="70"/>
      <c r="O73" s="59"/>
      <c r="P73" s="59"/>
      <c r="Q73" s="59"/>
      <c r="R73" s="59"/>
      <c r="X73" s="70"/>
      <c r="Z73" s="70"/>
      <c r="AA73" s="70"/>
      <c r="AB73" s="59"/>
      <c r="AF73" s="70"/>
      <c r="AH73" s="70"/>
      <c r="AI73" s="70"/>
      <c r="AJ73" s="59"/>
      <c r="AN73" s="70"/>
      <c r="AP73" s="70"/>
      <c r="AQ73" s="70"/>
      <c r="AR73" s="59"/>
      <c r="AV73" s="70"/>
      <c r="AX73" s="70"/>
      <c r="AY73" s="70"/>
      <c r="AZ73" s="59"/>
      <c r="BA73" s="58"/>
      <c r="BC73" s="58"/>
      <c r="BD73" s="58"/>
      <c r="BE73" s="58"/>
      <c r="BF73" s="58"/>
      <c r="BG73" s="58"/>
      <c r="BH73" s="58"/>
      <c r="BI73" s="58"/>
      <c r="BJ73" s="58"/>
    </row>
    <row r="74" spans="1:62" ht="15" customHeight="1" thickBot="1">
      <c r="A74" s="269" t="s">
        <v>67</v>
      </c>
      <c r="B74" s="270"/>
      <c r="C74" s="264" t="s">
        <v>68</v>
      </c>
      <c r="D74" s="229">
        <f>D$73/10000*100</f>
        <v>1.7874533462645221</v>
      </c>
      <c r="E74" s="244">
        <f ca="1">SUM(OFFSET(E74,0,-[0]!ng):OFFSET(E74,0,-1))</f>
        <v>1.7874533462645221</v>
      </c>
      <c r="F74" s="71"/>
      <c r="G74" s="71"/>
      <c r="H74" s="71"/>
      <c r="I74" s="71"/>
      <c r="J74" s="71"/>
      <c r="K74" s="71"/>
      <c r="L74" s="71"/>
      <c r="M74" s="71"/>
      <c r="N74" s="71"/>
      <c r="O74" s="59"/>
      <c r="P74" s="59"/>
      <c r="Q74" s="59"/>
      <c r="R74" s="59"/>
      <c r="X74" s="71"/>
      <c r="Z74" s="71"/>
      <c r="AA74" s="71"/>
      <c r="AB74" s="59"/>
      <c r="AF74" s="71"/>
      <c r="AH74" s="71"/>
      <c r="AI74" s="71"/>
      <c r="AJ74" s="59"/>
      <c r="AN74" s="71"/>
      <c r="AP74" s="71"/>
      <c r="AQ74" s="71"/>
      <c r="AR74" s="59"/>
      <c r="AV74" s="71"/>
      <c r="AX74" s="71"/>
      <c r="AY74" s="71"/>
      <c r="AZ74" s="59"/>
      <c r="BA74" s="58"/>
      <c r="BC74" s="58"/>
      <c r="BD74" s="58"/>
      <c r="BE74" s="58"/>
      <c r="BF74" s="58"/>
      <c r="BG74" s="58"/>
      <c r="BH74" s="58"/>
      <c r="BI74" s="58"/>
      <c r="BJ74" s="58"/>
    </row>
    <row r="75" spans="1:62" ht="15" customHeight="1">
      <c r="A75" s="419" t="s">
        <v>69</v>
      </c>
      <c r="B75" s="232"/>
      <c r="C75" s="232"/>
      <c r="D75" s="232"/>
      <c r="E75" s="233">
        <f ca="1">E73/(E66+E68)*8760*100/10000</f>
        <v>521.93637710924054</v>
      </c>
      <c r="F75" s="59"/>
      <c r="G75" s="59"/>
      <c r="H75" s="59"/>
      <c r="I75" s="59"/>
      <c r="J75" s="59"/>
      <c r="K75" s="59"/>
      <c r="L75" s="59"/>
      <c r="M75" s="59"/>
      <c r="N75" s="59"/>
      <c r="O75" s="59"/>
      <c r="X75" s="59"/>
      <c r="Z75" s="59"/>
      <c r="AA75" s="59"/>
      <c r="AB75" s="59"/>
      <c r="AF75" s="59"/>
      <c r="AH75" s="59"/>
      <c r="AI75" s="59"/>
      <c r="AJ75" s="59"/>
      <c r="AN75" s="59"/>
      <c r="AP75" s="59"/>
      <c r="AQ75" s="59"/>
      <c r="AR75" s="59"/>
      <c r="AV75" s="59"/>
      <c r="AX75" s="59"/>
      <c r="AY75" s="59"/>
      <c r="AZ75" s="59"/>
      <c r="BA75" s="58"/>
      <c r="BC75" s="58"/>
      <c r="BD75" s="58"/>
      <c r="BE75" s="58"/>
      <c r="BF75" s="58"/>
      <c r="BG75" s="58"/>
      <c r="BH75" s="58"/>
      <c r="BI75" s="58"/>
      <c r="BJ75" s="58"/>
    </row>
    <row r="76" spans="1:62" ht="15" customHeight="1">
      <c r="A76" s="420" t="s">
        <v>70</v>
      </c>
      <c r="B76" s="383"/>
      <c r="C76" s="383"/>
      <c r="D76" s="383"/>
      <c r="E76" s="385">
        <f ca="1">E73/(E66)*8760*100/10000</f>
        <v>521.93637710924054</v>
      </c>
      <c r="F76" s="59"/>
      <c r="G76" s="59"/>
      <c r="H76" s="59"/>
      <c r="I76" s="59"/>
      <c r="J76" s="59"/>
      <c r="K76" s="59"/>
      <c r="L76" s="59"/>
      <c r="M76" s="59"/>
      <c r="N76" s="59"/>
      <c r="O76" s="59"/>
      <c r="X76" s="59"/>
      <c r="Z76" s="59"/>
      <c r="AA76" s="59"/>
      <c r="AB76" s="59"/>
      <c r="AF76" s="59"/>
      <c r="AH76" s="59"/>
      <c r="AI76" s="59"/>
      <c r="AJ76" s="59"/>
      <c r="AN76" s="59"/>
      <c r="AP76" s="59"/>
      <c r="AQ76" s="59"/>
      <c r="AR76" s="59"/>
      <c r="AV76" s="59"/>
      <c r="AX76" s="59"/>
      <c r="AY76" s="59"/>
      <c r="AZ76" s="59"/>
      <c r="BA76" s="58"/>
      <c r="BC76" s="58"/>
      <c r="BD76" s="58"/>
      <c r="BE76" s="58"/>
      <c r="BF76" s="58"/>
      <c r="BG76" s="58"/>
      <c r="BH76" s="58"/>
      <c r="BI76" s="58"/>
      <c r="BJ76" s="58"/>
    </row>
    <row r="77" spans="1:62" ht="15" customHeight="1" thickBot="1">
      <c r="A77" s="448" t="s">
        <v>71</v>
      </c>
      <c r="B77" s="386"/>
      <c r="C77" s="386"/>
      <c r="D77" s="386"/>
      <c r="E77" s="387"/>
      <c r="F77" s="392"/>
      <c r="G77" s="392"/>
      <c r="H77" s="392"/>
      <c r="I77" s="59"/>
      <c r="J77" s="59"/>
      <c r="K77" s="59"/>
      <c r="L77" s="59"/>
      <c r="M77" s="59"/>
      <c r="N77" s="59"/>
      <c r="O77" s="59"/>
      <c r="P77" s="59"/>
      <c r="X77" s="59"/>
      <c r="Z77" s="59"/>
      <c r="AA77" s="59"/>
      <c r="AB77" s="59"/>
      <c r="AF77" s="59"/>
      <c r="AH77" s="59"/>
      <c r="AI77" s="59"/>
      <c r="AJ77" s="59"/>
      <c r="AN77" s="59"/>
      <c r="AP77" s="59"/>
      <c r="AQ77" s="59"/>
      <c r="AR77" s="59"/>
      <c r="AV77" s="59"/>
      <c r="AX77" s="59"/>
      <c r="AY77" s="59"/>
      <c r="AZ77" s="59"/>
      <c r="BA77" s="58"/>
      <c r="BC77" s="58"/>
      <c r="BD77" s="58"/>
      <c r="BE77" s="58"/>
      <c r="BF77" s="58"/>
      <c r="BG77" s="58"/>
      <c r="BH77" s="58"/>
      <c r="BI77" s="58"/>
      <c r="BJ77" s="58"/>
    </row>
    <row r="78" spans="1:62" s="319" customFormat="1" ht="15" customHeight="1">
      <c r="B78" s="320"/>
      <c r="C78" s="325" t="s">
        <v>72</v>
      </c>
      <c r="D78" s="346">
        <f ca="1">TODAY()</f>
        <v>44545</v>
      </c>
      <c r="E78" s="139"/>
      <c r="F78" s="321"/>
      <c r="G78" s="347"/>
      <c r="H78" s="348"/>
      <c r="I78" s="345"/>
      <c r="J78" s="325" t="s">
        <v>73</v>
      </c>
      <c r="K78" s="322" t="s">
        <v>80</v>
      </c>
      <c r="L78" s="323"/>
      <c r="M78" s="323"/>
      <c r="N78" s="323"/>
      <c r="O78" s="323"/>
      <c r="P78" s="135"/>
      <c r="Q78" s="323"/>
    </row>
    <row r="79" spans="1:62" ht="15" customHeight="1">
      <c r="A79" s="58"/>
      <c r="B79" s="58"/>
      <c r="C79" s="58"/>
      <c r="D79" s="58"/>
      <c r="E79" s="58"/>
      <c r="F79" s="58"/>
      <c r="G79" s="58"/>
      <c r="H79" s="58"/>
      <c r="I79" s="58"/>
      <c r="J79" s="58"/>
      <c r="O79" s="59"/>
      <c r="P79" s="59"/>
      <c r="Q79" s="59"/>
      <c r="X79" s="58"/>
      <c r="Z79" s="58"/>
      <c r="AA79" s="58"/>
      <c r="AF79" s="58"/>
      <c r="AH79" s="58"/>
      <c r="AI79" s="58"/>
      <c r="AN79" s="58"/>
      <c r="AP79" s="58"/>
      <c r="AQ79" s="58"/>
      <c r="AT79" s="59"/>
      <c r="AU79" s="59"/>
      <c r="AV79" s="59"/>
      <c r="AW79" s="59"/>
      <c r="AX79" s="59"/>
      <c r="AY79" s="58"/>
      <c r="BA79" s="58"/>
      <c r="BG79" s="58"/>
      <c r="BH79" s="58"/>
      <c r="BI79" s="58"/>
      <c r="BJ79" s="58"/>
    </row>
    <row r="80" spans="1:62" ht="15" customHeight="1">
      <c r="A80" s="3"/>
      <c r="B80" s="354"/>
      <c r="C80" s="60"/>
      <c r="D80" s="60"/>
      <c r="E80" s="60"/>
      <c r="F80" s="58"/>
      <c r="G80" s="58"/>
      <c r="I80" s="58"/>
      <c r="J80" s="58"/>
      <c r="M80" s="59"/>
      <c r="N80" s="59"/>
      <c r="O80" s="59"/>
      <c r="T80" s="59"/>
      <c r="U80" s="59"/>
      <c r="V80" s="60"/>
      <c r="W80" s="59"/>
      <c r="X80" s="59"/>
      <c r="Y80" s="29"/>
      <c r="Z80" s="58"/>
      <c r="AA80" s="58"/>
      <c r="AC80" s="59"/>
      <c r="AD80" s="60"/>
      <c r="AE80" s="59"/>
      <c r="AF80" s="59"/>
      <c r="AG80" s="29"/>
      <c r="AH80" s="59"/>
      <c r="AI80" s="59"/>
      <c r="AJ80" s="59"/>
      <c r="AK80" s="59"/>
      <c r="AL80" s="60"/>
      <c r="AM80" s="59"/>
      <c r="AN80" s="59"/>
      <c r="AO80" s="29"/>
      <c r="AP80" s="58"/>
      <c r="AQ80" s="58"/>
      <c r="AR80" s="59"/>
      <c r="AS80" s="59"/>
      <c r="AT80" s="60"/>
      <c r="AU80" s="59"/>
      <c r="AV80" s="59"/>
      <c r="AW80" s="28"/>
      <c r="AX80" s="58"/>
      <c r="AY80" s="58"/>
      <c r="BA80" s="59"/>
      <c r="BB80" s="59"/>
      <c r="BE80" s="58"/>
      <c r="BF80" s="58"/>
      <c r="BG80" s="58"/>
      <c r="BH80" s="58"/>
    </row>
    <row r="81" spans="1:62" ht="15" customHeight="1">
      <c r="A81" s="60"/>
      <c r="B81" s="355"/>
      <c r="C81" s="356"/>
      <c r="D81" s="356"/>
      <c r="E81" s="60"/>
      <c r="F81" s="58"/>
      <c r="G81" s="59"/>
      <c r="H81" s="138"/>
      <c r="I81" s="58"/>
      <c r="J81" s="58"/>
      <c r="M81" s="59"/>
      <c r="N81" s="59"/>
      <c r="O81" s="59"/>
      <c r="T81" s="59"/>
      <c r="U81" s="59"/>
      <c r="V81" s="60"/>
      <c r="W81" s="59"/>
      <c r="X81" s="59"/>
      <c r="Y81" s="59"/>
      <c r="Z81" s="58"/>
      <c r="AA81" s="58"/>
      <c r="AC81" s="59"/>
      <c r="AD81" s="60"/>
      <c r="AE81" s="59"/>
      <c r="AF81" s="59"/>
      <c r="AG81" s="59"/>
      <c r="AH81" s="59"/>
      <c r="AI81" s="59"/>
      <c r="AJ81" s="59"/>
      <c r="AK81" s="59"/>
      <c r="AL81" s="60"/>
      <c r="AM81" s="59"/>
      <c r="AN81" s="59"/>
      <c r="AO81" s="59"/>
      <c r="AP81" s="58"/>
      <c r="AQ81" s="58"/>
      <c r="AR81" s="59"/>
      <c r="AS81" s="59"/>
      <c r="AT81" s="60"/>
      <c r="AU81" s="59"/>
      <c r="AV81" s="59"/>
      <c r="AW81" s="59"/>
      <c r="AX81" s="58"/>
      <c r="AY81" s="59"/>
      <c r="BA81" s="59"/>
      <c r="BB81" s="59"/>
      <c r="BE81" s="58"/>
      <c r="BF81" s="58"/>
      <c r="BG81" s="58"/>
      <c r="BH81" s="58"/>
    </row>
    <row r="82" spans="1:62" ht="15" customHeight="1">
      <c r="A82" s="58"/>
      <c r="B82" s="58"/>
      <c r="C82" s="58"/>
      <c r="D82" s="58"/>
      <c r="E82" s="59"/>
      <c r="F82" s="59"/>
      <c r="G82" s="59"/>
      <c r="H82" s="59"/>
      <c r="I82" s="59"/>
      <c r="J82" s="59"/>
      <c r="O82" s="59"/>
      <c r="P82" s="59"/>
      <c r="Q82" s="59"/>
      <c r="V82" s="59"/>
      <c r="W82" s="59"/>
      <c r="X82" s="59"/>
      <c r="Y82" s="59"/>
      <c r="Z82" s="59"/>
      <c r="AA82" s="59"/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T82" s="59"/>
      <c r="AU82" s="59"/>
      <c r="AV82" s="59"/>
      <c r="AW82" s="59"/>
      <c r="AX82" s="59"/>
      <c r="AY82" s="59"/>
      <c r="BA82" s="59"/>
      <c r="BG82" s="58"/>
      <c r="BH82" s="58"/>
      <c r="BI82" s="58"/>
      <c r="BJ82" s="58"/>
    </row>
    <row r="83" spans="1:62" ht="0.75" customHeight="1">
      <c r="A83" s="59"/>
      <c r="B83" s="148"/>
      <c r="C83" s="148"/>
      <c r="D83" s="58"/>
      <c r="E83" s="59"/>
      <c r="F83" s="59"/>
      <c r="G83" s="59"/>
      <c r="H83" s="59"/>
      <c r="I83" s="59"/>
      <c r="J83" s="59"/>
      <c r="O83" s="59"/>
      <c r="P83" s="59"/>
      <c r="Q83" s="59"/>
      <c r="X83" s="59"/>
      <c r="Z83" s="59"/>
      <c r="AA83" s="59"/>
      <c r="AF83" s="59"/>
      <c r="AH83" s="59"/>
      <c r="AI83" s="59"/>
      <c r="AN83" s="59"/>
      <c r="AP83" s="59"/>
      <c r="AQ83" s="59"/>
      <c r="AV83" s="59"/>
      <c r="AX83" s="59"/>
      <c r="AY83" s="59"/>
      <c r="BA83" s="59"/>
      <c r="BG83" s="58"/>
      <c r="BH83" s="58"/>
      <c r="BI83" s="58"/>
      <c r="BJ83" s="58"/>
    </row>
    <row r="84" spans="1:62" ht="240" customHeight="1">
      <c r="A84" s="148"/>
      <c r="B84" s="60"/>
      <c r="C84" s="60"/>
      <c r="D84" s="59"/>
      <c r="E84" s="59"/>
      <c r="F84" s="59"/>
      <c r="G84" s="59"/>
      <c r="H84" s="59"/>
      <c r="I84" s="59"/>
      <c r="J84" s="59"/>
      <c r="O84" s="59"/>
      <c r="P84" s="59"/>
      <c r="Q84" s="59"/>
      <c r="X84" s="59"/>
      <c r="Z84" s="59"/>
      <c r="AA84" s="59"/>
      <c r="AF84" s="59"/>
      <c r="AH84" s="59"/>
      <c r="AI84" s="59"/>
      <c r="AN84" s="59"/>
      <c r="AP84" s="59"/>
      <c r="AQ84" s="59"/>
      <c r="AV84" s="59"/>
      <c r="AX84" s="59"/>
      <c r="AY84" s="59"/>
      <c r="BA84" s="59"/>
      <c r="BC84" s="308"/>
      <c r="BD84" s="308"/>
      <c r="BE84" s="308"/>
      <c r="BG84" s="58"/>
      <c r="BH84" s="58"/>
      <c r="BI84" s="58"/>
      <c r="BJ84" s="58"/>
    </row>
    <row r="85" spans="1:62" ht="66.75" customHeight="1">
      <c r="A85" s="59"/>
      <c r="B85" s="59"/>
      <c r="C85" s="59"/>
      <c r="D85" s="58"/>
      <c r="E85" s="59"/>
      <c r="F85" s="59"/>
      <c r="G85" s="59"/>
      <c r="H85" s="59"/>
      <c r="I85" s="59"/>
      <c r="J85" s="59"/>
      <c r="O85" s="59"/>
      <c r="P85" s="59"/>
      <c r="Q85" s="59"/>
      <c r="X85" s="59"/>
      <c r="Z85" s="59"/>
      <c r="AA85" s="59"/>
      <c r="AF85" s="59"/>
      <c r="AH85" s="59"/>
      <c r="AI85" s="59"/>
      <c r="AN85" s="59"/>
      <c r="AP85" s="59"/>
      <c r="AQ85" s="59"/>
      <c r="AV85" s="59"/>
      <c r="AX85" s="59"/>
      <c r="AY85" s="59"/>
      <c r="BA85" s="59"/>
      <c r="BC85" s="308"/>
      <c r="BD85" s="357" t="s">
        <v>75</v>
      </c>
      <c r="BE85" s="308"/>
      <c r="BG85" s="58"/>
      <c r="BH85" s="58"/>
      <c r="BI85" s="58"/>
      <c r="BJ85" s="58"/>
    </row>
    <row r="86" spans="1:62" ht="237" customHeight="1">
      <c r="A86" s="148"/>
      <c r="B86" s="148"/>
      <c r="C86" s="148"/>
      <c r="D86" s="148"/>
      <c r="E86" s="148"/>
      <c r="F86" s="59"/>
      <c r="G86" s="59"/>
      <c r="H86" s="59"/>
      <c r="I86" s="59"/>
      <c r="J86" s="59"/>
      <c r="O86" s="59"/>
      <c r="P86" s="59"/>
      <c r="Q86" s="59"/>
      <c r="X86" s="59"/>
      <c r="Z86" s="59"/>
      <c r="AA86" s="59"/>
      <c r="AF86" s="59"/>
      <c r="AH86" s="59"/>
      <c r="AI86" s="59"/>
      <c r="AN86" s="59"/>
      <c r="AP86" s="59"/>
      <c r="AQ86" s="59"/>
      <c r="AV86" s="59"/>
      <c r="AX86" s="59"/>
      <c r="AY86" s="59"/>
      <c r="BA86" s="59"/>
      <c r="BC86" s="308"/>
      <c r="BD86" s="308"/>
      <c r="BE86" s="308"/>
      <c r="BG86" s="58"/>
      <c r="BH86" s="58"/>
      <c r="BI86" s="58"/>
      <c r="BJ86" s="58"/>
    </row>
    <row r="87" spans="1:62" ht="15" customHeight="1">
      <c r="A87" s="148"/>
      <c r="B87" s="148"/>
      <c r="C87" s="148"/>
      <c r="D87" s="148"/>
      <c r="E87" s="148"/>
      <c r="F87" s="59"/>
      <c r="G87" s="58"/>
      <c r="H87" s="59"/>
      <c r="I87" s="58"/>
      <c r="J87" s="58"/>
      <c r="X87" s="58"/>
      <c r="Z87" s="58"/>
      <c r="AA87" s="58"/>
      <c r="AF87" s="58"/>
      <c r="AH87" s="58"/>
      <c r="AI87" s="58"/>
      <c r="AN87" s="58"/>
      <c r="AP87" s="58"/>
      <c r="AQ87" s="58"/>
      <c r="AV87" s="58"/>
      <c r="AX87" s="58"/>
      <c r="AY87" s="58"/>
      <c r="BA87" s="58"/>
      <c r="BG87" s="58"/>
      <c r="BH87" s="58"/>
      <c r="BI87" s="58"/>
      <c r="BJ87" s="58"/>
    </row>
    <row r="88" spans="1:62" ht="15" customHeight="1">
      <c r="A88" s="148"/>
      <c r="B88" s="148"/>
      <c r="C88" s="148"/>
      <c r="D88" s="148"/>
      <c r="E88" s="148"/>
      <c r="F88" s="59"/>
      <c r="G88" s="58"/>
      <c r="H88" s="58"/>
      <c r="I88" s="58"/>
      <c r="J88" s="58"/>
      <c r="X88" s="58"/>
      <c r="Z88" s="58"/>
      <c r="AA88" s="58"/>
      <c r="AF88" s="58"/>
      <c r="AH88" s="58"/>
      <c r="AI88" s="58"/>
      <c r="AN88" s="58"/>
      <c r="AP88" s="58"/>
      <c r="AQ88" s="58"/>
      <c r="AV88" s="58"/>
      <c r="AX88" s="58"/>
      <c r="AY88" s="58"/>
      <c r="BA88" s="58"/>
      <c r="BG88" s="58"/>
      <c r="BH88" s="58"/>
      <c r="BI88" s="58"/>
      <c r="BJ88" s="58"/>
    </row>
    <row r="89" spans="1:62" ht="15" customHeight="1">
      <c r="A89" s="148"/>
      <c r="B89" s="148"/>
      <c r="C89" s="148"/>
      <c r="D89" s="148"/>
      <c r="E89" s="148"/>
      <c r="F89" s="59"/>
      <c r="G89" s="58"/>
      <c r="H89" s="58"/>
      <c r="I89" s="58"/>
      <c r="J89" s="58"/>
      <c r="X89" s="58"/>
      <c r="Z89" s="58"/>
      <c r="AA89" s="58"/>
      <c r="AF89" s="58"/>
      <c r="AH89" s="58"/>
      <c r="AI89" s="58"/>
      <c r="AN89" s="58"/>
      <c r="AP89" s="58"/>
      <c r="AQ89" s="58"/>
      <c r="AV89" s="58"/>
      <c r="AX89" s="58"/>
      <c r="AY89" s="58"/>
      <c r="BA89" s="58"/>
      <c r="BG89" s="58"/>
      <c r="BH89" s="58"/>
      <c r="BI89" s="58"/>
      <c r="BJ89" s="58"/>
    </row>
    <row r="90" spans="1:62" ht="15" customHeight="1">
      <c r="A90" s="58"/>
      <c r="B90" s="58"/>
      <c r="C90" s="58"/>
      <c r="D90" s="59"/>
      <c r="E90" s="59"/>
      <c r="F90" s="59"/>
      <c r="G90" s="58"/>
      <c r="H90" s="58"/>
      <c r="I90" s="58"/>
      <c r="J90" s="58"/>
      <c r="X90" s="58"/>
      <c r="Z90" s="58"/>
      <c r="AA90" s="58"/>
      <c r="AF90" s="58"/>
      <c r="AH90" s="58"/>
      <c r="AI90" s="58"/>
      <c r="AN90" s="58"/>
      <c r="AP90" s="58"/>
      <c r="AQ90" s="58"/>
      <c r="AV90" s="58"/>
      <c r="AX90" s="58"/>
      <c r="AY90" s="58"/>
      <c r="BA90" s="58"/>
      <c r="BG90" s="58"/>
      <c r="BH90" s="58"/>
      <c r="BI90" s="58"/>
      <c r="BJ90" s="58"/>
    </row>
    <row r="91" spans="1:62" ht="15" customHeight="1">
      <c r="A91" s="58"/>
      <c r="B91" s="58"/>
      <c r="C91" s="58"/>
      <c r="D91" s="59"/>
      <c r="E91" s="59"/>
      <c r="F91" s="59"/>
      <c r="G91" s="58"/>
      <c r="H91" s="58"/>
      <c r="I91" s="58"/>
      <c r="J91" s="58"/>
      <c r="X91" s="58"/>
      <c r="Z91" s="58"/>
      <c r="AA91" s="58"/>
      <c r="AF91" s="58"/>
      <c r="AH91" s="58"/>
      <c r="AI91" s="58"/>
      <c r="AN91" s="58"/>
      <c r="AP91" s="58"/>
      <c r="AQ91" s="58"/>
      <c r="AV91" s="58"/>
      <c r="AX91" s="58"/>
      <c r="AY91" s="58"/>
      <c r="BA91" s="58"/>
      <c r="BG91" s="58"/>
      <c r="BH91" s="58"/>
      <c r="BI91" s="58"/>
      <c r="BJ91" s="58"/>
    </row>
    <row r="92" spans="1:62" ht="15" customHeight="1">
      <c r="A92" s="58"/>
      <c r="B92" s="58"/>
      <c r="C92" s="58"/>
      <c r="D92" s="59"/>
      <c r="E92" s="59"/>
      <c r="F92" s="59"/>
      <c r="G92" s="58"/>
      <c r="H92" s="58"/>
      <c r="I92" s="58"/>
      <c r="J92" s="58"/>
      <c r="X92" s="58"/>
      <c r="Z92" s="58"/>
      <c r="AA92" s="58"/>
      <c r="AF92" s="58"/>
      <c r="AH92" s="58"/>
      <c r="AI92" s="58"/>
      <c r="AN92" s="58"/>
      <c r="AP92" s="58"/>
      <c r="AQ92" s="58"/>
      <c r="AV92" s="58"/>
      <c r="AX92" s="58"/>
      <c r="AY92" s="58"/>
      <c r="BA92" s="58"/>
      <c r="BG92" s="58"/>
      <c r="BH92" s="58"/>
      <c r="BI92" s="58"/>
      <c r="BJ92" s="58"/>
    </row>
    <row r="93" spans="1:62" ht="15" customHeight="1">
      <c r="A93" s="59"/>
      <c r="B93" s="59"/>
      <c r="C93" s="59"/>
      <c r="D93" s="59"/>
      <c r="E93" s="58"/>
      <c r="F93" s="58"/>
      <c r="G93" s="58"/>
      <c r="H93" s="58"/>
      <c r="I93" s="58"/>
      <c r="J93" s="58"/>
      <c r="X93" s="58"/>
      <c r="Z93" s="58"/>
      <c r="AA93" s="58"/>
      <c r="AF93" s="58"/>
      <c r="AH93" s="58"/>
      <c r="AI93" s="58"/>
      <c r="AN93" s="58"/>
      <c r="AP93" s="58"/>
      <c r="AQ93" s="58"/>
      <c r="AV93" s="58"/>
      <c r="AX93" s="58"/>
      <c r="AY93" s="58"/>
      <c r="BA93" s="58"/>
      <c r="BG93" s="58"/>
      <c r="BH93" s="58"/>
      <c r="BI93" s="58"/>
      <c r="BJ93" s="58"/>
    </row>
    <row r="94" spans="1:62" ht="15" customHeight="1">
      <c r="A94" s="59"/>
      <c r="B94" s="59"/>
      <c r="C94" s="59"/>
      <c r="D94" s="59"/>
      <c r="E94" s="58"/>
      <c r="F94" s="58"/>
      <c r="G94" s="58"/>
      <c r="H94" s="58"/>
      <c r="I94" s="58"/>
      <c r="J94" s="58"/>
      <c r="X94" s="58"/>
      <c r="Z94" s="58"/>
      <c r="AA94" s="58"/>
      <c r="AF94" s="58"/>
      <c r="AH94" s="58"/>
      <c r="AI94" s="58"/>
      <c r="AN94" s="58"/>
      <c r="AP94" s="58"/>
      <c r="AQ94" s="58"/>
      <c r="AV94" s="58"/>
      <c r="AX94" s="58"/>
      <c r="AY94" s="58"/>
      <c r="BA94" s="58"/>
      <c r="BG94" s="58"/>
      <c r="BH94" s="58"/>
      <c r="BI94" s="58"/>
      <c r="BJ94" s="58"/>
    </row>
    <row r="95" spans="1:62" ht="15" customHeight="1">
      <c r="A95" s="59"/>
      <c r="B95" s="59"/>
      <c r="C95" s="59"/>
      <c r="D95" s="59"/>
      <c r="E95" s="58"/>
      <c r="F95" s="58"/>
      <c r="G95" s="58"/>
      <c r="H95" s="58"/>
      <c r="I95" s="58"/>
      <c r="J95" s="58"/>
      <c r="X95" s="58"/>
      <c r="Z95" s="58"/>
      <c r="AA95" s="58"/>
      <c r="AF95" s="58"/>
      <c r="AH95" s="58"/>
      <c r="AI95" s="58"/>
      <c r="AN95" s="58"/>
      <c r="AP95" s="58"/>
      <c r="AQ95" s="58"/>
      <c r="AV95" s="58"/>
      <c r="AX95" s="58"/>
      <c r="AY95" s="58"/>
      <c r="BA95" s="58"/>
      <c r="BG95" s="58"/>
      <c r="BH95" s="58"/>
      <c r="BI95" s="58"/>
      <c r="BJ95" s="58"/>
    </row>
    <row r="96" spans="1:62" ht="15" customHeight="1">
      <c r="A96" s="59"/>
      <c r="B96" s="59"/>
      <c r="C96" s="59"/>
      <c r="D96" s="59"/>
      <c r="E96" s="58"/>
      <c r="F96" s="58"/>
      <c r="G96" s="58"/>
      <c r="H96" s="58"/>
      <c r="I96" s="58"/>
      <c r="J96" s="58"/>
      <c r="X96" s="58"/>
      <c r="Z96" s="58"/>
      <c r="AA96" s="58"/>
      <c r="AF96" s="58"/>
      <c r="AH96" s="58"/>
      <c r="AI96" s="58"/>
      <c r="AN96" s="58"/>
      <c r="AP96" s="58"/>
      <c r="AQ96" s="58"/>
      <c r="AV96" s="58"/>
      <c r="AX96" s="58"/>
      <c r="AY96" s="58"/>
      <c r="BA96" s="58"/>
      <c r="BG96" s="58"/>
      <c r="BH96" s="58"/>
      <c r="BI96" s="58"/>
      <c r="BJ96" s="58"/>
    </row>
    <row r="97" spans="1:62" ht="15" customHeight="1">
      <c r="A97" s="59"/>
      <c r="B97" s="59"/>
      <c r="C97" s="59"/>
      <c r="D97" s="59"/>
      <c r="E97" s="58"/>
      <c r="F97" s="58"/>
      <c r="G97" s="58"/>
      <c r="H97" s="58"/>
      <c r="I97" s="58"/>
      <c r="J97" s="58"/>
      <c r="X97" s="58"/>
      <c r="Z97" s="58"/>
      <c r="AA97" s="58"/>
      <c r="AF97" s="58"/>
      <c r="AH97" s="58"/>
      <c r="AI97" s="58"/>
      <c r="AN97" s="58"/>
      <c r="AP97" s="58"/>
      <c r="AQ97" s="58"/>
      <c r="AV97" s="58"/>
      <c r="AX97" s="58"/>
      <c r="AY97" s="58"/>
      <c r="BA97" s="58"/>
      <c r="BG97" s="58"/>
      <c r="BH97" s="58"/>
      <c r="BI97" s="58"/>
      <c r="BJ97" s="58"/>
    </row>
    <row r="98" spans="1:62" ht="15" customHeight="1">
      <c r="A98" s="59"/>
      <c r="B98" s="59"/>
      <c r="C98" s="59"/>
      <c r="D98" s="59"/>
      <c r="E98" s="58"/>
      <c r="F98" s="58"/>
      <c r="G98" s="58"/>
      <c r="H98" s="58"/>
      <c r="I98" s="58"/>
      <c r="J98" s="58"/>
      <c r="X98" s="58"/>
      <c r="Z98" s="58"/>
      <c r="AA98" s="58"/>
      <c r="AF98" s="58"/>
      <c r="AH98" s="58"/>
      <c r="AI98" s="58"/>
      <c r="AN98" s="58"/>
      <c r="AP98" s="58"/>
      <c r="AQ98" s="58"/>
      <c r="AV98" s="58"/>
      <c r="AX98" s="58"/>
      <c r="AY98" s="58"/>
      <c r="BA98" s="58"/>
      <c r="BG98" s="58"/>
      <c r="BH98" s="58"/>
      <c r="BI98" s="58"/>
      <c r="BJ98" s="58"/>
    </row>
    <row r="99" spans="1:62" ht="15" customHeight="1">
      <c r="A99" s="59"/>
      <c r="B99" s="59"/>
      <c r="C99" s="59"/>
      <c r="D99" s="59"/>
      <c r="E99" s="58"/>
      <c r="F99" s="58"/>
      <c r="G99" s="58"/>
      <c r="H99" s="58"/>
      <c r="I99" s="58"/>
      <c r="J99" s="58"/>
      <c r="X99" s="58"/>
      <c r="Z99" s="58"/>
      <c r="AA99" s="58"/>
      <c r="AF99" s="58"/>
      <c r="AH99" s="58"/>
      <c r="AI99" s="58"/>
      <c r="AN99" s="58"/>
      <c r="AP99" s="58"/>
      <c r="AQ99" s="58"/>
      <c r="AV99" s="58"/>
      <c r="AX99" s="58"/>
      <c r="AY99" s="58"/>
      <c r="BA99" s="58"/>
      <c r="BG99" s="58"/>
      <c r="BH99" s="58"/>
      <c r="BI99" s="58"/>
      <c r="BJ99" s="58"/>
    </row>
    <row r="100" spans="1:62" s="58" customFormat="1" ht="15" customHeight="1">
      <c r="A100" s="59"/>
      <c r="B100" s="59"/>
      <c r="C100" s="59"/>
      <c r="D100" s="59"/>
      <c r="BC100" s="59"/>
      <c r="BD100" s="59"/>
      <c r="BE100" s="59"/>
      <c r="BF100" s="59"/>
    </row>
    <row r="101" spans="1:62" s="58" customFormat="1" ht="15" customHeight="1">
      <c r="A101" s="59"/>
      <c r="B101" s="59"/>
      <c r="C101" s="59"/>
      <c r="D101" s="59"/>
      <c r="BC101" s="59"/>
      <c r="BD101" s="59"/>
      <c r="BE101" s="59"/>
      <c r="BF101" s="59"/>
    </row>
    <row r="102" spans="1:62" s="58" customFormat="1" ht="15" customHeight="1">
      <c r="A102" s="59"/>
      <c r="B102" s="59"/>
      <c r="C102" s="59"/>
      <c r="D102" s="59"/>
      <c r="BC102" s="59"/>
      <c r="BD102" s="59"/>
      <c r="BE102" s="59"/>
      <c r="BF102" s="59"/>
    </row>
    <row r="103" spans="1:62">
      <c r="A103" s="29"/>
      <c r="B103" s="29"/>
      <c r="C103" s="29"/>
      <c r="D103" s="29"/>
      <c r="H103" s="58"/>
      <c r="BA103" s="58"/>
      <c r="BG103" s="58"/>
      <c r="BH103" s="58"/>
      <c r="BI103" s="58"/>
      <c r="BJ103" s="58"/>
    </row>
    <row r="104" spans="1:62">
      <c r="A104" s="29"/>
      <c r="B104" s="29"/>
      <c r="C104" s="29"/>
      <c r="D104" s="29"/>
      <c r="BA104" s="58"/>
      <c r="BG104" s="58"/>
      <c r="BH104" s="58"/>
      <c r="BI104" s="58"/>
      <c r="BJ104" s="58"/>
    </row>
    <row r="105" spans="1:62">
      <c r="A105" s="29"/>
      <c r="B105" s="29"/>
      <c r="C105" s="29"/>
      <c r="D105" s="29"/>
      <c r="BA105" s="58"/>
      <c r="BG105" s="58"/>
      <c r="BH105" s="58"/>
      <c r="BI105" s="58"/>
      <c r="BJ105" s="58"/>
    </row>
    <row r="106" spans="1:62">
      <c r="A106" s="29"/>
      <c r="B106" s="29"/>
      <c r="C106" s="29"/>
      <c r="D106" s="29"/>
      <c r="BA106" s="58"/>
      <c r="BG106" s="58"/>
      <c r="BH106" s="58"/>
      <c r="BI106" s="58"/>
      <c r="BJ106" s="58"/>
    </row>
    <row r="107" spans="1:62">
      <c r="A107" s="29"/>
      <c r="B107" s="29"/>
      <c r="C107" s="29"/>
      <c r="D107" s="29"/>
      <c r="BA107" s="58"/>
      <c r="BG107" s="58"/>
      <c r="BH107" s="58"/>
      <c r="BI107" s="58"/>
      <c r="BJ107" s="58"/>
    </row>
    <row r="108" spans="1:62">
      <c r="A108" s="29"/>
      <c r="B108" s="29"/>
      <c r="C108" s="29"/>
      <c r="D108" s="29"/>
      <c r="BA108" s="58"/>
      <c r="BG108" s="58"/>
      <c r="BH108" s="58"/>
      <c r="BI108" s="58"/>
      <c r="BJ108" s="58"/>
    </row>
    <row r="109" spans="1:62">
      <c r="A109" s="29"/>
      <c r="B109" s="29"/>
      <c r="C109" s="29"/>
      <c r="D109" s="29"/>
      <c r="BA109" s="58"/>
      <c r="BG109" s="58"/>
      <c r="BH109" s="58"/>
      <c r="BI109" s="58"/>
      <c r="BJ109" s="58"/>
    </row>
    <row r="110" spans="1:62">
      <c r="A110" s="29"/>
      <c r="B110" s="29"/>
      <c r="C110" s="29"/>
      <c r="D110" s="29"/>
      <c r="BA110" s="58"/>
      <c r="BG110" s="58"/>
      <c r="BH110" s="58"/>
      <c r="BI110" s="58"/>
      <c r="BJ110" s="58"/>
    </row>
    <row r="111" spans="1:62">
      <c r="A111" s="29"/>
      <c r="B111" s="29"/>
      <c r="C111" s="29"/>
      <c r="D111" s="29"/>
      <c r="BA111" s="58"/>
      <c r="BG111" s="58"/>
      <c r="BH111" s="58"/>
      <c r="BI111" s="58"/>
      <c r="BJ111" s="58"/>
    </row>
    <row r="112" spans="1:62">
      <c r="A112" s="29"/>
      <c r="B112" s="29"/>
      <c r="C112" s="29"/>
      <c r="D112" s="29"/>
      <c r="BA112" s="58"/>
      <c r="BG112" s="58"/>
      <c r="BH112" s="58"/>
      <c r="BI112" s="58"/>
      <c r="BJ112" s="58"/>
    </row>
    <row r="113" spans="1:62">
      <c r="A113" s="29"/>
      <c r="B113" s="29"/>
      <c r="C113" s="29"/>
      <c r="D113" s="29"/>
      <c r="BA113" s="58"/>
      <c r="BG113" s="58"/>
      <c r="BH113" s="58"/>
      <c r="BI113" s="58"/>
      <c r="BJ113" s="58"/>
    </row>
    <row r="114" spans="1:62">
      <c r="A114" s="29"/>
      <c r="B114" s="29"/>
      <c r="C114" s="29"/>
      <c r="D114" s="29"/>
      <c r="BA114" s="58"/>
      <c r="BG114" s="58"/>
      <c r="BH114" s="58"/>
      <c r="BI114" s="58"/>
      <c r="BJ114" s="58"/>
    </row>
    <row r="115" spans="1:62">
      <c r="A115" s="29"/>
      <c r="B115" s="29"/>
      <c r="C115" s="29"/>
      <c r="D115" s="29"/>
      <c r="BA115" s="58"/>
      <c r="BG115" s="58"/>
      <c r="BH115" s="58"/>
      <c r="BI115" s="58"/>
      <c r="BJ115" s="58"/>
    </row>
    <row r="116" spans="1:62">
      <c r="A116" s="29"/>
      <c r="B116" s="29"/>
      <c r="C116" s="29"/>
      <c r="D116" s="29"/>
      <c r="BA116" s="58"/>
      <c r="BG116" s="58"/>
      <c r="BH116" s="58"/>
      <c r="BI116" s="58"/>
      <c r="BJ116" s="58"/>
    </row>
    <row r="117" spans="1:62">
      <c r="A117" s="29"/>
      <c r="B117" s="29"/>
      <c r="C117" s="29"/>
      <c r="D117" s="29"/>
      <c r="BA117" s="58"/>
      <c r="BG117" s="58"/>
      <c r="BH117" s="58"/>
      <c r="BI117" s="58"/>
      <c r="BJ117" s="58"/>
    </row>
    <row r="118" spans="1:62">
      <c r="A118" s="29"/>
      <c r="B118" s="29"/>
      <c r="C118" s="29"/>
      <c r="D118" s="29"/>
      <c r="BA118" s="58"/>
      <c r="BG118" s="58"/>
      <c r="BH118" s="58"/>
      <c r="BI118" s="58"/>
      <c r="BJ118" s="58"/>
    </row>
    <row r="119" spans="1:62">
      <c r="A119" s="29"/>
      <c r="B119" s="29"/>
      <c r="C119" s="29"/>
      <c r="D119" s="29"/>
      <c r="BA119" s="58"/>
      <c r="BG119" s="58"/>
      <c r="BH119" s="58"/>
      <c r="BI119" s="58"/>
      <c r="BJ119" s="58"/>
    </row>
    <row r="120" spans="1:62">
      <c r="A120" s="29"/>
      <c r="B120" s="29"/>
      <c r="C120" s="29"/>
      <c r="D120" s="29"/>
      <c r="BA120" s="58"/>
      <c r="BG120" s="58"/>
      <c r="BH120" s="58"/>
      <c r="BI120" s="58"/>
      <c r="BJ120" s="58"/>
    </row>
    <row r="121" spans="1:62">
      <c r="A121" s="29"/>
      <c r="B121" s="29"/>
      <c r="C121" s="29"/>
      <c r="D121" s="29"/>
      <c r="BA121" s="58"/>
      <c r="BG121" s="58"/>
      <c r="BH121" s="58"/>
      <c r="BI121" s="58"/>
      <c r="BJ121" s="58"/>
    </row>
    <row r="122" spans="1:62">
      <c r="A122" s="29"/>
      <c r="B122" s="29"/>
      <c r="C122" s="29"/>
      <c r="D122" s="29"/>
      <c r="BA122" s="58"/>
      <c r="BG122" s="58"/>
      <c r="BH122" s="58"/>
      <c r="BI122" s="58"/>
      <c r="BJ122" s="58"/>
    </row>
    <row r="123" spans="1:62">
      <c r="A123" s="29"/>
      <c r="B123" s="29"/>
      <c r="C123" s="29"/>
      <c r="D123" s="29"/>
      <c r="BA123" s="58"/>
      <c r="BG123" s="58"/>
      <c r="BH123" s="58"/>
      <c r="BI123" s="58"/>
      <c r="BJ123" s="58"/>
    </row>
    <row r="124" spans="1:62">
      <c r="A124" s="29"/>
      <c r="B124" s="29"/>
      <c r="C124" s="29"/>
      <c r="D124" s="29"/>
      <c r="BA124" s="58"/>
      <c r="BG124" s="58"/>
      <c r="BH124" s="58"/>
      <c r="BI124" s="58"/>
      <c r="BJ124" s="58"/>
    </row>
    <row r="125" spans="1:62">
      <c r="A125" s="29"/>
      <c r="B125" s="29"/>
      <c r="C125" s="29"/>
      <c r="D125" s="29"/>
      <c r="BA125" s="58"/>
      <c r="BG125" s="58"/>
      <c r="BH125" s="58"/>
      <c r="BI125" s="58"/>
      <c r="BJ125" s="58"/>
    </row>
    <row r="126" spans="1:62">
      <c r="A126" s="29"/>
      <c r="B126" s="29"/>
      <c r="C126" s="29"/>
      <c r="BA126" s="58"/>
      <c r="BG126" s="58"/>
      <c r="BH126" s="58"/>
      <c r="BI126" s="58"/>
      <c r="BJ126" s="58"/>
    </row>
    <row r="127" spans="1:62">
      <c r="BA127" s="58"/>
      <c r="BG127" s="58"/>
      <c r="BH127" s="58"/>
      <c r="BI127" s="58"/>
      <c r="BJ127" s="58"/>
    </row>
    <row r="128" spans="1:62">
      <c r="BA128" s="58"/>
      <c r="BG128" s="58"/>
      <c r="BH128" s="58"/>
      <c r="BI128" s="58"/>
      <c r="BJ128" s="58"/>
    </row>
  </sheetData>
  <printOptions horizontalCentered="1" verticalCentered="1"/>
  <pageMargins left="0.5" right="0.5" top="0.5" bottom="0.5" header="0.5" footer="0.5"/>
  <pageSetup scale="12" orientation="landscape" horizontalDpi="4294967292" vertic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8" r:id="rId4" name="Drop Down 1">
              <controlPr defaultSize="0" print="0" autoFill="0" autoLine="0" autoPict="0" macro="[0]!DropDown1_Change">
                <anchor>
                  <from>
                    <xdr:col>1</xdr:col>
                    <xdr:colOff>25400</xdr:colOff>
                    <xdr:row>1</xdr:row>
                    <xdr:rowOff>25400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" name="Option Button 1">
              <controlPr defaultSize="0" print="0" autoFill="0" autoLine="0" autoPict="0" macro="[0]!OptionButton1_Click">
                <anchor>
                  <from>
                    <xdr:col>0</xdr:col>
                    <xdr:colOff>50800</xdr:colOff>
                    <xdr:row>0</xdr:row>
                    <xdr:rowOff>50800</xdr:rowOff>
                  </from>
                  <to>
                    <xdr:col>1</xdr:col>
                    <xdr:colOff>596900</xdr:colOff>
                    <xdr:row>0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6" name="Option Button 2">
              <controlPr defaultSize="0" print="0" autoFill="0" autoLine="0" autoPict="0" macro="[0]!OptionButton2_Click">
                <anchor>
                  <from>
                    <xdr:col>0</xdr:col>
                    <xdr:colOff>50800</xdr:colOff>
                    <xdr:row>0</xdr:row>
                    <xdr:rowOff>241300</xdr:rowOff>
                  </from>
                  <to>
                    <xdr:col>1</xdr:col>
                    <xdr:colOff>596900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 Box 7">
              <controlPr defaultSize="0" print="0" autoFill="0" autoLine="0" autoPict="0" macro="[0]!CheckBox7_Click">
                <anchor>
                  <from>
                    <xdr:col>4</xdr:col>
                    <xdr:colOff>25400</xdr:colOff>
                    <xdr:row>0</xdr:row>
                    <xdr:rowOff>292100</xdr:rowOff>
                  </from>
                  <to>
                    <xdr:col>7</xdr:col>
                    <xdr:colOff>63500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8" name="Check Box 61">
              <controlPr defaultSize="0" print="0" autoFill="0" autoLine="0" autoPict="0" macro="[0]!CheckBox8_Click">
                <anchor>
                  <from>
                    <xdr:col>4</xdr:col>
                    <xdr:colOff>25400</xdr:colOff>
                    <xdr:row>0</xdr:row>
                    <xdr:rowOff>76200</xdr:rowOff>
                  </from>
                  <to>
                    <xdr:col>7</xdr:col>
                    <xdr:colOff>25400</xdr:colOff>
                    <xdr:row>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9" name="Button 117">
              <controlPr defaultSize="0" print="0" autoFill="0" autoLine="0" autoPict="0" macro="[0]!Button1_Click">
                <anchor>
                  <from>
                    <xdr:col>0</xdr:col>
                    <xdr:colOff>101600</xdr:colOff>
                    <xdr:row>0</xdr:row>
                    <xdr:rowOff>939800</xdr:rowOff>
                  </from>
                  <to>
                    <xdr:col>1</xdr:col>
                    <xdr:colOff>292100</xdr:colOff>
                    <xdr:row>0</xdr:row>
                    <xdr:rowOff>1892300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0" name="Button 118">
              <controlPr defaultSize="0" print="0" autoFill="0" autoLine="0" autoPict="0" macro="[0]!Button2_Click">
                <anchor>
                  <from>
                    <xdr:col>4</xdr:col>
                    <xdr:colOff>38100</xdr:colOff>
                    <xdr:row>0</xdr:row>
                    <xdr:rowOff>1701800</xdr:rowOff>
                  </from>
                  <to>
                    <xdr:col>5</xdr:col>
                    <xdr:colOff>190500</xdr:colOff>
                    <xdr:row>0</xdr:row>
                    <xdr:rowOff>1892300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1" name="Drop Down 124">
              <controlPr defaultSize="0" print="0" autoFill="0" autoLine="0" autoPict="0" macro="[0]!DropDown2_Change">
                <anchor moveWithCells="1">
                  <from>
                    <xdr:col>4</xdr:col>
                    <xdr:colOff>12700</xdr:colOff>
                    <xdr:row>4</xdr:row>
                    <xdr:rowOff>12700</xdr:rowOff>
                  </from>
                  <to>
                    <xdr:col>4</xdr:col>
                    <xdr:colOff>431800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2" name="Check Box 5">
              <controlPr defaultSize="0" print="0" autoFill="0" autoLine="0" autoPict="0" macro="[0]!CheckBox5_Click">
                <anchor>
                  <from>
                    <xdr:col>1</xdr:col>
                    <xdr:colOff>444500</xdr:colOff>
                    <xdr:row>0</xdr:row>
                    <xdr:rowOff>1282700</xdr:rowOff>
                  </from>
                  <to>
                    <xdr:col>3</xdr:col>
                    <xdr:colOff>139700</xdr:colOff>
                    <xdr:row>0</xdr:row>
                    <xdr:rowOff>1511300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Check Box 6">
              <controlPr defaultSize="0" print="0" autoFill="0" autoLine="0" autoPict="0" macro="[0]!CheckBox6_Click">
                <anchor>
                  <from>
                    <xdr:col>1</xdr:col>
                    <xdr:colOff>457200</xdr:colOff>
                    <xdr:row>0</xdr:row>
                    <xdr:rowOff>63500</xdr:rowOff>
                  </from>
                  <to>
                    <xdr:col>2</xdr:col>
                    <xdr:colOff>381000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4" name="Check Box 38">
              <controlPr defaultSize="0" print="0" autoFill="0" autoLine="0" autoPict="0" macro="[0]!CheckBox4_Click">
                <anchor>
                  <from>
                    <xdr:col>1</xdr:col>
                    <xdr:colOff>444500</xdr:colOff>
                    <xdr:row>0</xdr:row>
                    <xdr:rowOff>1714500</xdr:rowOff>
                  </from>
                  <to>
                    <xdr:col>4</xdr:col>
                    <xdr:colOff>12700</xdr:colOff>
                    <xdr:row>0</xdr:row>
                    <xdr:rowOff>1930400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5" name="Check Box 39">
              <controlPr defaultSize="0" print="0" autoFill="0" autoLine="0" autoPict="0" macro="[0]!CheckBox3_Click">
                <anchor>
                  <from>
                    <xdr:col>1</xdr:col>
                    <xdr:colOff>444500</xdr:colOff>
                    <xdr:row>0</xdr:row>
                    <xdr:rowOff>558800</xdr:rowOff>
                  </from>
                  <to>
                    <xdr:col>3</xdr:col>
                    <xdr:colOff>25400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6" name="Check Box 40">
              <controlPr defaultSize="0" print="0" autoFill="0" autoLine="0" autoPict="0" macro="[0]!CheckBox2_Click">
                <anchor>
                  <from>
                    <xdr:col>1</xdr:col>
                    <xdr:colOff>444500</xdr:colOff>
                    <xdr:row>0</xdr:row>
                    <xdr:rowOff>342900</xdr:rowOff>
                  </from>
                  <to>
                    <xdr:col>3</xdr:col>
                    <xdr:colOff>25400</xdr:colOff>
                    <xdr:row>0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7" name="Check Box 1">
              <controlPr defaultSize="0" print="0" autoFill="0" autoLine="0" autoPict="0" macro="[0]!CheckBox1_Click">
                <anchor>
                  <from>
                    <xdr:col>1</xdr:col>
                    <xdr:colOff>444500</xdr:colOff>
                    <xdr:row>0</xdr:row>
                    <xdr:rowOff>1511300</xdr:rowOff>
                  </from>
                  <to>
                    <xdr:col>2</xdr:col>
                    <xdr:colOff>571500</xdr:colOff>
                    <xdr:row>0</xdr:row>
                    <xdr:rowOff>1727200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8" name="Check Box 147">
              <controlPr defaultSize="0" print="0" autoFill="0" autoLine="0" autoPict="0" macro="[0]!CheckBox9_Click">
                <anchor>
                  <from>
                    <xdr:col>1</xdr:col>
                    <xdr:colOff>444500</xdr:colOff>
                    <xdr:row>0</xdr:row>
                    <xdr:rowOff>762000</xdr:rowOff>
                  </from>
                  <to>
                    <xdr:col>3</xdr:col>
                    <xdr:colOff>25400</xdr:colOff>
                    <xdr:row>0</xdr:row>
                    <xdr:rowOff>977900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9" name="Check Box 148">
              <controlPr defaultSize="0" print="0" autoFill="0" autoLine="0" autoPict="0" macro="[0]!CheckBox10_Click">
                <anchor>
                  <from>
                    <xdr:col>1</xdr:col>
                    <xdr:colOff>444500</xdr:colOff>
                    <xdr:row>0</xdr:row>
                    <xdr:rowOff>952500</xdr:rowOff>
                  </from>
                  <to>
                    <xdr:col>3</xdr:col>
                    <xdr:colOff>25400</xdr:colOff>
                    <xdr:row>0</xdr:row>
                    <xdr:rowOff>1168400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E126"/>
  <sheetViews>
    <sheetView topLeftCell="E16" zoomScale="400" workbookViewId="0">
      <selection activeCell="Q3" sqref="Q3:R3"/>
    </sheetView>
  </sheetViews>
  <sheetFormatPr baseColWidth="10" defaultColWidth="11.5" defaultRowHeight="14"/>
  <cols>
    <col min="1" max="1" width="13.1640625" style="28" customWidth="1"/>
    <col min="2" max="2" width="13" style="28" customWidth="1"/>
    <col min="3" max="3" width="10" style="28" customWidth="1"/>
    <col min="4" max="10" width="6.6640625" style="28" customWidth="1"/>
    <col min="11" max="18" width="6.6640625" style="58" customWidth="1"/>
    <col min="19" max="19" width="6.83203125" style="58" customWidth="1"/>
    <col min="20" max="20" width="6.6640625" style="58" customWidth="1"/>
    <col min="21" max="23" width="6.83203125" style="58" customWidth="1"/>
    <col min="24" max="24" width="6.6640625" style="28" customWidth="1"/>
    <col min="25" max="25" width="6.83203125" style="58" customWidth="1"/>
    <col min="26" max="27" width="6.6640625" style="28" customWidth="1"/>
    <col min="28" max="28" width="6.6640625" style="58" customWidth="1"/>
    <col min="29" max="31" width="6.83203125" style="58" customWidth="1"/>
    <col min="32" max="32" width="6.6640625" style="28" customWidth="1"/>
    <col min="33" max="33" width="6.83203125" style="58" customWidth="1"/>
    <col min="34" max="35" width="6.6640625" style="28" customWidth="1"/>
    <col min="36" max="36" width="6.6640625" style="58" customWidth="1"/>
    <col min="37" max="39" width="6.83203125" style="58" customWidth="1"/>
    <col min="40" max="40" width="6.6640625" style="28" customWidth="1"/>
    <col min="41" max="41" width="6.83203125" style="58" customWidth="1"/>
    <col min="42" max="43" width="6.6640625" style="28" customWidth="1"/>
    <col min="44" max="44" width="6.6640625" style="58" customWidth="1"/>
    <col min="45" max="47" width="6.83203125" style="58" customWidth="1"/>
    <col min="48" max="48" width="6.6640625" style="28" customWidth="1"/>
    <col min="49" max="49" width="6.83203125" style="58" customWidth="1"/>
    <col min="50" max="51" width="6.6640625" style="28" customWidth="1"/>
    <col min="52" max="52" width="6.6640625" style="58" customWidth="1"/>
    <col min="53" max="53" width="6.6640625" style="28" customWidth="1"/>
    <col min="54" max="54" width="6.6640625" style="58" customWidth="1"/>
    <col min="55" max="55" width="83.6640625" style="59" customWidth="1"/>
    <col min="56" max="56" width="24.33203125" style="59" customWidth="1"/>
    <col min="57" max="57" width="83.6640625" style="59" customWidth="1"/>
    <col min="58" max="16384" width="11.5" style="28"/>
  </cols>
  <sheetData>
    <row r="1" spans="1:57" s="58" customFormat="1" ht="162" customHeight="1" thickBot="1">
      <c r="A1" s="121">
        <v>1</v>
      </c>
      <c r="B1" s="122">
        <v>1</v>
      </c>
      <c r="C1" s="66"/>
      <c r="D1" s="66"/>
      <c r="E1" s="66"/>
      <c r="F1" s="66"/>
      <c r="G1" s="67"/>
      <c r="H1" s="59">
        <v>4</v>
      </c>
      <c r="I1" s="59" t="str">
        <f>INDEX(material,H1)</f>
        <v>He</v>
      </c>
      <c r="J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</row>
    <row r="2" spans="1:57" s="58" customFormat="1" ht="25" customHeight="1">
      <c r="A2" s="118" t="s">
        <v>0</v>
      </c>
      <c r="B2" s="142" t="str">
        <f>INDEX(data1!A2:A3,B1)</f>
        <v>A</v>
      </c>
      <c r="C2" s="137"/>
      <c r="D2" s="22"/>
      <c r="E2" s="119"/>
      <c r="F2" s="119"/>
      <c r="G2" s="99" t="s">
        <v>1</v>
      </c>
      <c r="H2" s="98"/>
      <c r="I2" s="98"/>
      <c r="J2" s="98"/>
      <c r="K2" s="98"/>
      <c r="L2" s="98"/>
      <c r="M2" s="98"/>
      <c r="N2" s="98"/>
      <c r="O2" s="136"/>
      <c r="P2" s="307"/>
      <c r="Q2" s="100"/>
      <c r="R2" s="136"/>
      <c r="S2" s="329" t="s">
        <v>2</v>
      </c>
      <c r="T2" s="344" t="str">
        <f>1&amp;" of "&amp;INT((ng+17)/17)</f>
        <v>1 of 1</v>
      </c>
      <c r="U2" s="22"/>
      <c r="V2" s="119"/>
      <c r="W2" s="119"/>
      <c r="X2" s="99" t="s">
        <v>1</v>
      </c>
      <c r="Y2" s="98"/>
      <c r="Z2" s="98"/>
      <c r="AA2" s="98"/>
      <c r="AB2" s="98"/>
      <c r="AC2" s="98"/>
      <c r="AD2" s="98"/>
      <c r="AE2" s="98"/>
      <c r="AF2" s="136"/>
      <c r="AG2" s="307"/>
      <c r="AH2" s="100"/>
      <c r="AI2" s="136"/>
      <c r="AJ2" s="329" t="s">
        <v>2</v>
      </c>
      <c r="AK2" s="344" t="str">
        <f>2&amp;" of "&amp;INT((ng+17)/17)</f>
        <v>2 of 1</v>
      </c>
      <c r="AL2" s="22"/>
      <c r="AM2" s="119"/>
      <c r="AN2" s="119"/>
      <c r="AO2" s="99" t="s">
        <v>1</v>
      </c>
      <c r="AP2" s="98"/>
      <c r="AQ2" s="98"/>
      <c r="AR2" s="98"/>
      <c r="AS2" s="98"/>
      <c r="AT2" s="98"/>
      <c r="AU2" s="98"/>
      <c r="AV2" s="98"/>
      <c r="AW2" s="136"/>
      <c r="AX2" s="307"/>
      <c r="AY2" s="100"/>
      <c r="AZ2" s="136"/>
      <c r="BA2" s="329" t="s">
        <v>2</v>
      </c>
      <c r="BB2" s="342" t="str">
        <f>3&amp;" of "&amp;INT((ng+17)/17)</f>
        <v>3 of 1</v>
      </c>
      <c r="BC2" s="60"/>
      <c r="BD2" s="60"/>
      <c r="BE2" s="60"/>
    </row>
    <row r="3" spans="1:57" s="58" customFormat="1" ht="25" customHeight="1">
      <c r="A3" s="132" t="s">
        <v>3</v>
      </c>
      <c r="B3" s="327" t="s">
        <v>76</v>
      </c>
      <c r="C3" s="140" t="s">
        <v>4</v>
      </c>
      <c r="D3" s="331"/>
      <c r="E3"/>
      <c r="F3" s="77"/>
      <c r="G3" s="140" t="s">
        <v>5</v>
      </c>
      <c r="H3" s="334" t="s">
        <v>77</v>
      </c>
      <c r="I3" s="334"/>
      <c r="J3" s="338"/>
      <c r="K3" s="338"/>
      <c r="L3" s="77"/>
      <c r="M3" s="60"/>
      <c r="N3" s="140" t="s">
        <v>6</v>
      </c>
      <c r="O3" s="331" t="s">
        <v>78</v>
      </c>
      <c r="P3" s="331"/>
      <c r="Q3" s="451"/>
      <c r="R3" s="451"/>
      <c r="S3" s="333"/>
      <c r="T3" s="340"/>
      <c r="U3" s="333">
        <f>D3</f>
        <v>0</v>
      </c>
      <c r="V3"/>
      <c r="W3" s="77"/>
      <c r="X3" s="140" t="s">
        <v>5</v>
      </c>
      <c r="Y3" s="336" t="str">
        <f>H3</f>
        <v>1997-98</v>
      </c>
      <c r="Z3" s="336"/>
      <c r="AA3" s="338"/>
      <c r="AB3" s="338"/>
      <c r="AC3" s="77"/>
      <c r="AD3" s="60"/>
      <c r="AE3" s="140" t="s">
        <v>6</v>
      </c>
      <c r="AF3" s="333" t="str">
        <f>O3</f>
        <v>A.N.Experimenter</v>
      </c>
      <c r="AG3" s="333"/>
      <c r="AH3" s="338"/>
      <c r="AI3" s="338"/>
      <c r="AJ3" s="333"/>
      <c r="AK3" s="340"/>
      <c r="AL3" s="333">
        <f>D3</f>
        <v>0</v>
      </c>
      <c r="AM3"/>
      <c r="AN3" s="77"/>
      <c r="AO3" s="140" t="s">
        <v>5</v>
      </c>
      <c r="AP3" s="336" t="str">
        <f>H3</f>
        <v>1997-98</v>
      </c>
      <c r="AQ3" s="336"/>
      <c r="AR3" s="338"/>
      <c r="AS3" s="338"/>
      <c r="AT3" s="77"/>
      <c r="AU3" s="60"/>
      <c r="AV3" s="140" t="s">
        <v>6</v>
      </c>
      <c r="AW3" s="333" t="str">
        <f>O3</f>
        <v>A.N.Experimenter</v>
      </c>
      <c r="AX3" s="333"/>
      <c r="AY3" s="338"/>
      <c r="AZ3" s="338"/>
      <c r="BA3" s="333"/>
      <c r="BB3" s="340"/>
      <c r="BC3" s="60"/>
      <c r="BD3" s="60"/>
      <c r="BE3" s="60"/>
    </row>
    <row r="4" spans="1:57" s="58" customFormat="1" ht="14" customHeight="1" thickBot="1">
      <c r="A4" s="115"/>
      <c r="B4" s="116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3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3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3"/>
      <c r="BC4" s="60"/>
      <c r="BD4" s="60"/>
      <c r="BE4" s="60"/>
    </row>
    <row r="5" spans="1:57" ht="15" customHeight="1">
      <c r="A5" s="144" t="s">
        <v>7</v>
      </c>
      <c r="B5" s="145"/>
      <c r="C5" s="143"/>
      <c r="D5" s="30">
        <f>C5+1</f>
        <v>1</v>
      </c>
      <c r="E5" s="123">
        <v>1</v>
      </c>
      <c r="F5" s="90">
        <v>1</v>
      </c>
      <c r="G5" s="90"/>
      <c r="H5" s="90"/>
      <c r="I5" s="90"/>
      <c r="J5" s="90"/>
      <c r="K5" s="90"/>
      <c r="L5" s="89">
        <v>1</v>
      </c>
      <c r="M5" s="90"/>
      <c r="N5" s="90"/>
      <c r="O5" s="90"/>
      <c r="P5" s="90"/>
      <c r="Q5" s="90"/>
      <c r="R5" s="90"/>
      <c r="S5" s="91"/>
      <c r="T5" s="92">
        <v>2</v>
      </c>
      <c r="U5" s="91"/>
      <c r="V5" s="92">
        <v>2</v>
      </c>
      <c r="W5" s="91"/>
      <c r="X5" s="91"/>
      <c r="Y5" s="91"/>
      <c r="Z5" s="90"/>
      <c r="AA5" s="91"/>
      <c r="AB5" s="90"/>
      <c r="AC5" s="90"/>
      <c r="AD5" s="90"/>
      <c r="AE5" s="91"/>
      <c r="AF5" s="91"/>
      <c r="AG5" s="91"/>
      <c r="AH5" s="90"/>
      <c r="AI5" s="91"/>
      <c r="AJ5" s="90"/>
      <c r="AK5" s="90"/>
      <c r="AL5" s="90"/>
      <c r="AM5" s="91"/>
      <c r="AN5" s="91"/>
      <c r="AO5" s="91"/>
      <c r="AP5" s="90"/>
      <c r="AQ5" s="91"/>
      <c r="AR5" s="90"/>
      <c r="AS5" s="90"/>
      <c r="AT5" s="90"/>
      <c r="AU5" s="91"/>
      <c r="AV5" s="91"/>
      <c r="AW5" s="91"/>
      <c r="AX5" s="90"/>
      <c r="AY5" s="91"/>
      <c r="AZ5" s="90"/>
      <c r="BA5" s="90"/>
      <c r="BB5" s="90"/>
      <c r="BC5" s="28"/>
      <c r="BD5" s="28"/>
      <c r="BE5" s="28"/>
    </row>
    <row r="6" spans="1:57" ht="15" customHeight="1">
      <c r="A6" s="445" t="s">
        <v>8</v>
      </c>
      <c r="B6" s="96" t="s">
        <v>9</v>
      </c>
      <c r="C6" s="105" t="s">
        <v>10</v>
      </c>
      <c r="D6" s="127">
        <v>2.4</v>
      </c>
      <c r="E6" s="206" t="s">
        <v>11</v>
      </c>
      <c r="F6" s="70"/>
      <c r="G6" s="65"/>
      <c r="H6" s="65"/>
      <c r="I6" s="65"/>
      <c r="J6" s="65"/>
      <c r="K6" s="65"/>
      <c r="L6" s="70"/>
      <c r="M6" s="70"/>
      <c r="N6" s="207"/>
      <c r="O6" s="70"/>
      <c r="Q6" s="70"/>
      <c r="R6" s="70"/>
      <c r="S6" s="65"/>
      <c r="T6" s="65"/>
      <c r="U6" s="65"/>
      <c r="V6" s="65"/>
      <c r="W6" s="65"/>
      <c r="X6" s="65"/>
      <c r="Y6" s="65"/>
      <c r="Z6" s="70"/>
      <c r="AA6" s="65"/>
      <c r="AB6" s="70"/>
      <c r="AC6" s="70"/>
      <c r="AD6" s="70"/>
      <c r="AE6" s="65"/>
      <c r="AF6" s="65"/>
      <c r="AG6" s="65"/>
      <c r="AH6" s="70"/>
      <c r="AI6" s="65"/>
      <c r="AJ6" s="70"/>
      <c r="AK6" s="70"/>
      <c r="AL6" s="70"/>
      <c r="AM6" s="65"/>
      <c r="AN6" s="65"/>
      <c r="AO6" s="65"/>
      <c r="AP6" s="70"/>
      <c r="AQ6" s="65"/>
      <c r="AR6" s="70"/>
      <c r="AS6" s="70"/>
      <c r="AT6" s="70"/>
      <c r="AU6" s="65"/>
      <c r="AV6" s="65"/>
      <c r="AW6" s="65"/>
      <c r="AX6" s="70"/>
      <c r="AY6" s="65"/>
      <c r="AZ6" s="70"/>
      <c r="BA6" s="70"/>
      <c r="BB6" s="70"/>
      <c r="BC6" s="28"/>
      <c r="BD6" s="28"/>
      <c r="BE6" s="28"/>
    </row>
    <row r="7" spans="1:57" ht="15" customHeight="1">
      <c r="A7" s="422"/>
      <c r="B7" s="96" t="s">
        <v>12</v>
      </c>
      <c r="C7" s="105" t="s">
        <v>13</v>
      </c>
      <c r="D7" s="128">
        <v>50</v>
      </c>
      <c r="E7" s="120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28"/>
      <c r="BD7" s="28"/>
      <c r="BE7" s="28"/>
    </row>
    <row r="8" spans="1:57" ht="15" customHeight="1">
      <c r="A8" s="423" t="s">
        <v>14</v>
      </c>
      <c r="B8" s="133" t="s">
        <v>15</v>
      </c>
      <c r="C8" s="134"/>
      <c r="D8" s="222" t="s">
        <v>16</v>
      </c>
      <c r="E8" s="120"/>
      <c r="F8" s="58"/>
      <c r="G8" s="65"/>
      <c r="H8" s="68"/>
      <c r="I8" s="68"/>
      <c r="J8" s="74"/>
      <c r="K8" s="74"/>
      <c r="L8" s="74"/>
      <c r="M8" s="65"/>
      <c r="N8" s="65"/>
      <c r="O8" s="65"/>
      <c r="P8" s="65"/>
      <c r="Q8" s="70"/>
      <c r="R8" s="70"/>
      <c r="S8" s="59"/>
      <c r="U8" s="59"/>
      <c r="W8" s="59"/>
      <c r="X8" s="59"/>
      <c r="Y8" s="59"/>
      <c r="Z8" s="65"/>
      <c r="AA8" s="59"/>
      <c r="AB8" s="68"/>
      <c r="AC8" s="74"/>
      <c r="AD8" s="74"/>
      <c r="AE8" s="59"/>
      <c r="AF8" s="59"/>
      <c r="AG8" s="59"/>
      <c r="AH8" s="65"/>
      <c r="AI8" s="59"/>
      <c r="AJ8" s="68"/>
      <c r="AK8" s="74"/>
      <c r="AL8" s="74"/>
      <c r="AM8" s="59"/>
      <c r="AN8" s="59"/>
      <c r="AO8" s="59"/>
      <c r="AP8" s="65"/>
      <c r="AQ8" s="59"/>
      <c r="AR8" s="68"/>
      <c r="AS8" s="74"/>
      <c r="AT8" s="74"/>
      <c r="AU8" s="59"/>
      <c r="AV8" s="59"/>
      <c r="AW8" s="59"/>
      <c r="AX8" s="65"/>
      <c r="AY8" s="59"/>
      <c r="AZ8" s="68"/>
      <c r="BA8" s="74"/>
      <c r="BB8" s="74"/>
      <c r="BC8" s="28"/>
      <c r="BD8" s="28"/>
      <c r="BE8" s="28"/>
    </row>
    <row r="9" spans="1:57" ht="15" customHeight="1">
      <c r="A9" s="421"/>
      <c r="B9" s="97" t="s">
        <v>17</v>
      </c>
      <c r="C9" s="105" t="s">
        <v>18</v>
      </c>
      <c r="D9" s="216">
        <v>774</v>
      </c>
      <c r="E9" s="120"/>
      <c r="F9" s="75"/>
      <c r="G9" s="73"/>
      <c r="H9" s="68"/>
      <c r="I9" s="68"/>
      <c r="J9" s="76"/>
      <c r="K9" s="70"/>
      <c r="L9" s="65"/>
      <c r="M9" s="65"/>
      <c r="N9" s="65"/>
      <c r="O9" s="65"/>
      <c r="P9" s="65"/>
      <c r="Q9" s="65"/>
      <c r="R9" s="65"/>
      <c r="S9" s="59"/>
      <c r="U9" s="59"/>
      <c r="W9" s="59"/>
      <c r="X9" s="59"/>
      <c r="Y9" s="59"/>
      <c r="Z9" s="73"/>
      <c r="AA9" s="59"/>
      <c r="AB9" s="68"/>
      <c r="AC9" s="76"/>
      <c r="AD9" s="70"/>
      <c r="AE9" s="59"/>
      <c r="AF9" s="59"/>
      <c r="AG9" s="59"/>
      <c r="AH9" s="73"/>
      <c r="AI9" s="59"/>
      <c r="AJ9" s="68"/>
      <c r="AK9" s="76"/>
      <c r="AL9" s="70"/>
      <c r="AM9" s="59"/>
      <c r="AN9" s="59"/>
      <c r="AO9" s="59"/>
      <c r="AP9" s="73"/>
      <c r="AQ9" s="59"/>
      <c r="AR9" s="68"/>
      <c r="AS9" s="76"/>
      <c r="AT9" s="70"/>
      <c r="AU9" s="59"/>
      <c r="AV9" s="59"/>
      <c r="AW9" s="59"/>
      <c r="AX9" s="73"/>
      <c r="AY9" s="59"/>
      <c r="AZ9" s="68"/>
      <c r="BA9" s="76"/>
      <c r="BB9" s="70"/>
      <c r="BC9" s="28"/>
      <c r="BD9" s="28"/>
      <c r="BE9" s="28"/>
    </row>
    <row r="10" spans="1:57" ht="15" customHeight="1">
      <c r="A10" s="424"/>
      <c r="B10" s="103" t="s">
        <v>19</v>
      </c>
      <c r="C10" s="106" t="s">
        <v>20</v>
      </c>
      <c r="D10" s="128">
        <v>-0.5</v>
      </c>
      <c r="E10" s="120"/>
      <c r="F10" s="77"/>
      <c r="G10" s="62"/>
      <c r="H10" s="68"/>
      <c r="I10" s="68"/>
      <c r="J10" s="65"/>
      <c r="K10" s="65"/>
      <c r="L10" s="65"/>
      <c r="M10" s="69"/>
      <c r="N10" s="72"/>
      <c r="O10" s="73"/>
      <c r="P10" s="65"/>
      <c r="Q10" s="65"/>
      <c r="R10" s="65"/>
      <c r="S10" s="59"/>
      <c r="T10" s="64"/>
      <c r="U10" s="59"/>
      <c r="V10" s="64"/>
      <c r="W10" s="59"/>
      <c r="X10" s="59"/>
      <c r="Y10" s="59"/>
      <c r="Z10" s="62"/>
      <c r="AA10" s="59"/>
      <c r="AB10" s="68"/>
      <c r="AC10" s="65"/>
      <c r="AD10" s="65"/>
      <c r="AE10" s="59"/>
      <c r="AF10" s="59"/>
      <c r="AG10" s="59"/>
      <c r="AH10" s="62"/>
      <c r="AI10" s="59"/>
      <c r="AJ10" s="68"/>
      <c r="AK10" s="65"/>
      <c r="AL10" s="65"/>
      <c r="AM10" s="59"/>
      <c r="AN10" s="59"/>
      <c r="AO10" s="59"/>
      <c r="AP10" s="62"/>
      <c r="AQ10" s="59"/>
      <c r="AR10" s="68"/>
      <c r="AS10" s="65"/>
      <c r="AT10" s="65"/>
      <c r="AU10" s="59"/>
      <c r="AV10" s="59"/>
      <c r="AW10" s="59"/>
      <c r="AX10" s="62"/>
      <c r="AY10" s="59"/>
      <c r="AZ10" s="68"/>
      <c r="BA10" s="65"/>
      <c r="BB10" s="65"/>
      <c r="BC10" s="28"/>
      <c r="BD10" s="28"/>
      <c r="BE10" s="28"/>
    </row>
    <row r="11" spans="1:57" ht="15" customHeight="1">
      <c r="A11" s="424"/>
      <c r="B11" s="104" t="s">
        <v>21</v>
      </c>
      <c r="C11" s="107"/>
      <c r="D11" s="38">
        <f>INDEX(Z_data,MATCH(D8,[0]!material,0))</f>
        <v>29</v>
      </c>
      <c r="E11" s="120"/>
      <c r="F11" s="69"/>
      <c r="G11" s="69"/>
      <c r="H11" s="68"/>
      <c r="I11" s="68"/>
      <c r="J11" s="78"/>
      <c r="K11" s="78"/>
      <c r="L11" s="78"/>
      <c r="M11" s="69"/>
      <c r="N11" s="72"/>
      <c r="O11" s="73"/>
      <c r="P11" s="65"/>
      <c r="Q11" s="65"/>
      <c r="R11" s="65"/>
      <c r="S11" s="59"/>
      <c r="U11" s="59"/>
      <c r="W11" s="59"/>
      <c r="X11" s="59"/>
      <c r="Y11" s="59"/>
      <c r="Z11" s="69"/>
      <c r="AA11" s="59"/>
      <c r="AB11" s="68"/>
      <c r="AC11" s="78"/>
      <c r="AD11" s="78"/>
      <c r="AE11" s="59"/>
      <c r="AF11" s="59"/>
      <c r="AG11" s="59"/>
      <c r="AH11" s="69"/>
      <c r="AI11" s="59"/>
      <c r="AJ11" s="68"/>
      <c r="AK11" s="78"/>
      <c r="AL11" s="78"/>
      <c r="AM11" s="59"/>
      <c r="AN11" s="59"/>
      <c r="AO11" s="59"/>
      <c r="AP11" s="69"/>
      <c r="AQ11" s="59"/>
      <c r="AR11" s="68"/>
      <c r="AS11" s="78"/>
      <c r="AT11" s="78"/>
      <c r="AU11" s="59"/>
      <c r="AV11" s="59"/>
      <c r="AW11" s="59"/>
      <c r="AX11" s="69"/>
      <c r="AY11" s="59"/>
      <c r="AZ11" s="68"/>
      <c r="BA11" s="78"/>
      <c r="BB11" s="78"/>
      <c r="BC11" s="28"/>
      <c r="BD11" s="28"/>
      <c r="BE11" s="28"/>
    </row>
    <row r="12" spans="1:57" ht="15" customHeight="1">
      <c r="A12" s="425" t="b">
        <v>0</v>
      </c>
      <c r="B12" s="104" t="s">
        <v>22</v>
      </c>
      <c r="C12" s="107"/>
      <c r="D12" s="38">
        <f>INDEX(A_data,MATCH(D8,[0]!material,0))</f>
        <v>63.5</v>
      </c>
      <c r="E12" s="120"/>
      <c r="F12" s="72"/>
      <c r="G12" s="59"/>
      <c r="H12" s="68"/>
      <c r="I12" s="68"/>
      <c r="J12" s="78"/>
      <c r="K12" s="78"/>
      <c r="L12" s="78"/>
      <c r="M12" s="69"/>
      <c r="N12" s="72"/>
      <c r="O12" s="73"/>
      <c r="P12" s="65"/>
      <c r="Q12" s="65"/>
      <c r="R12" s="65"/>
      <c r="S12" s="59"/>
      <c r="U12" s="59"/>
      <c r="W12" s="59"/>
      <c r="X12" s="59"/>
      <c r="Y12" s="59"/>
      <c r="Z12" s="59"/>
      <c r="AA12" s="59"/>
      <c r="AB12" s="68"/>
      <c r="AC12" s="78"/>
      <c r="AD12" s="78"/>
      <c r="AE12" s="59"/>
      <c r="AF12" s="59"/>
      <c r="AG12" s="59"/>
      <c r="AH12" s="59"/>
      <c r="AI12" s="59"/>
      <c r="AJ12" s="68"/>
      <c r="AK12" s="78"/>
      <c r="AL12" s="78"/>
      <c r="AM12" s="59"/>
      <c r="AN12" s="59"/>
      <c r="AO12" s="59"/>
      <c r="AP12" s="59"/>
      <c r="AQ12" s="59"/>
      <c r="AR12" s="68"/>
      <c r="AS12" s="78"/>
      <c r="AT12" s="78"/>
      <c r="AU12" s="59"/>
      <c r="AV12" s="59"/>
      <c r="AW12" s="59"/>
      <c r="AX12" s="59"/>
      <c r="AY12" s="59"/>
      <c r="AZ12" s="68"/>
      <c r="BA12" s="78"/>
      <c r="BB12" s="78"/>
      <c r="BC12" s="28"/>
      <c r="BD12" s="28"/>
      <c r="BE12" s="28"/>
    </row>
    <row r="13" spans="1:57" ht="15" customHeight="1">
      <c r="A13" s="426" t="s">
        <v>23</v>
      </c>
      <c r="B13" s="133" t="s">
        <v>15</v>
      </c>
      <c r="C13" s="134"/>
      <c r="D13" s="222" t="s">
        <v>24</v>
      </c>
      <c r="E13" s="120"/>
      <c r="F13" s="76"/>
      <c r="G13" s="58"/>
      <c r="H13" s="76"/>
      <c r="I13" s="76"/>
      <c r="J13" s="76"/>
      <c r="K13" s="76"/>
      <c r="L13" s="65"/>
      <c r="M13" s="65"/>
      <c r="N13" s="65"/>
      <c r="O13" s="65"/>
      <c r="P13" s="65"/>
      <c r="Q13" s="65"/>
      <c r="R13" s="65"/>
      <c r="S13" s="59"/>
      <c r="T13" s="64"/>
      <c r="U13" s="59"/>
      <c r="V13" s="64"/>
      <c r="W13" s="59"/>
      <c r="X13" s="59"/>
      <c r="Y13" s="59"/>
      <c r="Z13" s="58"/>
      <c r="AA13" s="59"/>
      <c r="AB13" s="76"/>
      <c r="AC13" s="76"/>
      <c r="AD13" s="76"/>
      <c r="AE13" s="59"/>
      <c r="AF13" s="59"/>
      <c r="AG13" s="59"/>
      <c r="AH13" s="58"/>
      <c r="AI13" s="59"/>
      <c r="AJ13" s="76"/>
      <c r="AK13" s="76"/>
      <c r="AL13" s="76"/>
      <c r="AM13" s="59"/>
      <c r="AN13" s="59"/>
      <c r="AO13" s="59"/>
      <c r="AP13" s="58"/>
      <c r="AQ13" s="59"/>
      <c r="AR13" s="76"/>
      <c r="AS13" s="76"/>
      <c r="AT13" s="76"/>
      <c r="AU13" s="59"/>
      <c r="AV13" s="59"/>
      <c r="AW13" s="59"/>
      <c r="AX13" s="58"/>
      <c r="AY13" s="59"/>
      <c r="AZ13" s="76"/>
      <c r="BA13" s="76"/>
      <c r="BB13" s="76"/>
      <c r="BC13" s="28"/>
      <c r="BD13" s="28"/>
      <c r="BE13" s="28"/>
    </row>
    <row r="14" spans="1:57" ht="15" customHeight="1">
      <c r="A14" s="427" t="s">
        <v>27</v>
      </c>
      <c r="B14" s="97" t="s">
        <v>17</v>
      </c>
      <c r="C14" s="105" t="s">
        <v>18</v>
      </c>
      <c r="D14" s="209">
        <v>50</v>
      </c>
      <c r="E14" s="120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59"/>
      <c r="U14" s="59"/>
      <c r="W14" s="59"/>
      <c r="X14" s="59"/>
      <c r="Y14" s="59"/>
      <c r="Z14" s="65"/>
      <c r="AA14" s="59"/>
      <c r="AB14" s="65"/>
      <c r="AC14" s="65"/>
      <c r="AD14" s="65"/>
      <c r="AE14" s="59"/>
      <c r="AF14" s="59"/>
      <c r="AG14" s="59"/>
      <c r="AH14" s="65"/>
      <c r="AI14" s="59"/>
      <c r="AJ14" s="65"/>
      <c r="AK14" s="65"/>
      <c r="AL14" s="65"/>
      <c r="AM14" s="59"/>
      <c r="AN14" s="59"/>
      <c r="AO14" s="59"/>
      <c r="AP14" s="65"/>
      <c r="AQ14" s="59"/>
      <c r="AR14" s="65"/>
      <c r="AS14" s="65"/>
      <c r="AT14" s="65"/>
      <c r="AU14" s="59"/>
      <c r="AV14" s="59"/>
      <c r="AW14" s="59"/>
      <c r="AX14" s="65"/>
      <c r="AY14" s="59"/>
      <c r="AZ14" s="65"/>
      <c r="BA14" s="65"/>
      <c r="BB14" s="65"/>
      <c r="BC14" s="28"/>
      <c r="BD14" s="28"/>
      <c r="BE14" s="28"/>
    </row>
    <row r="15" spans="1:57" ht="15" customHeight="1">
      <c r="A15" s="428"/>
      <c r="B15" s="103" t="s">
        <v>19</v>
      </c>
      <c r="C15" s="106" t="s">
        <v>20</v>
      </c>
      <c r="D15" s="128">
        <v>0</v>
      </c>
      <c r="E15" s="120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59"/>
      <c r="U15" s="59"/>
      <c r="W15" s="59"/>
      <c r="X15" s="59"/>
      <c r="Y15" s="59"/>
      <c r="Z15" s="65"/>
      <c r="AA15" s="59"/>
      <c r="AB15" s="65"/>
      <c r="AC15" s="65"/>
      <c r="AD15" s="65"/>
      <c r="AE15" s="59"/>
      <c r="AF15" s="59"/>
      <c r="AG15" s="59"/>
      <c r="AH15" s="65"/>
      <c r="AI15" s="59"/>
      <c r="AJ15" s="65"/>
      <c r="AK15" s="65"/>
      <c r="AL15" s="65"/>
      <c r="AM15" s="59"/>
      <c r="AN15" s="59"/>
      <c r="AO15" s="59"/>
      <c r="AP15" s="65"/>
      <c r="AQ15" s="59"/>
      <c r="AR15" s="65"/>
      <c r="AS15" s="65"/>
      <c r="AT15" s="65"/>
      <c r="AU15" s="59"/>
      <c r="AV15" s="59"/>
      <c r="AW15" s="59"/>
      <c r="AX15" s="65"/>
      <c r="AY15" s="59"/>
      <c r="AZ15" s="65"/>
      <c r="BA15" s="65"/>
      <c r="BB15" s="65"/>
      <c r="BC15" s="28"/>
      <c r="BD15" s="28"/>
      <c r="BE15" s="28"/>
    </row>
    <row r="16" spans="1:57" ht="15" customHeight="1">
      <c r="A16" s="428"/>
      <c r="B16" s="104" t="s">
        <v>21</v>
      </c>
      <c r="C16" s="107"/>
      <c r="D16" s="38">
        <f>INDEX(Z_data,MATCH(D13,[0]!material,0))</f>
        <v>1</v>
      </c>
      <c r="E16" s="120"/>
      <c r="F16" s="73"/>
      <c r="G16" s="73"/>
      <c r="H16" s="73"/>
      <c r="I16" s="73"/>
      <c r="J16" s="73"/>
      <c r="K16" s="73"/>
      <c r="L16" s="73"/>
      <c r="M16" s="73"/>
      <c r="N16" s="65"/>
      <c r="O16" s="65"/>
      <c r="P16" s="65"/>
      <c r="Q16" s="65"/>
      <c r="R16" s="65"/>
      <c r="S16" s="59"/>
      <c r="U16" s="59"/>
      <c r="W16" s="59"/>
      <c r="X16" s="59"/>
      <c r="Y16" s="59"/>
      <c r="Z16" s="73"/>
      <c r="AA16" s="59"/>
      <c r="AB16" s="73"/>
      <c r="AC16" s="73"/>
      <c r="AD16" s="73"/>
      <c r="AE16" s="59"/>
      <c r="AF16" s="59"/>
      <c r="AG16" s="59"/>
      <c r="AH16" s="73"/>
      <c r="AI16" s="59"/>
      <c r="AJ16" s="73"/>
      <c r="AK16" s="73"/>
      <c r="AL16" s="73"/>
      <c r="AM16" s="59"/>
      <c r="AN16" s="59"/>
      <c r="AO16" s="59"/>
      <c r="AP16" s="73"/>
      <c r="AQ16" s="59"/>
      <c r="AR16" s="73"/>
      <c r="AS16" s="73"/>
      <c r="AT16" s="73"/>
      <c r="AU16" s="59"/>
      <c r="AV16" s="59"/>
      <c r="AW16" s="59"/>
      <c r="AX16" s="73"/>
      <c r="AY16" s="59"/>
      <c r="AZ16" s="73"/>
      <c r="BA16" s="73"/>
      <c r="BB16" s="73"/>
      <c r="BC16" s="28"/>
      <c r="BD16" s="28"/>
      <c r="BE16" s="28"/>
    </row>
    <row r="17" spans="1:57" ht="15" customHeight="1">
      <c r="A17" s="429" t="b">
        <v>1</v>
      </c>
      <c r="B17" s="104" t="s">
        <v>22</v>
      </c>
      <c r="C17" s="107"/>
      <c r="D17" s="38">
        <f>INDEX(A_data,MATCH(D13,[0]!material,0))</f>
        <v>1</v>
      </c>
      <c r="E17" s="120"/>
      <c r="F17" s="65"/>
      <c r="G17" s="65"/>
      <c r="H17" s="58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59"/>
      <c r="U17" s="59"/>
      <c r="W17" s="59"/>
      <c r="X17" s="59"/>
      <c r="Y17" s="59"/>
      <c r="Z17" s="65"/>
      <c r="AA17" s="59"/>
      <c r="AB17" s="65"/>
      <c r="AC17" s="65"/>
      <c r="AD17" s="65"/>
      <c r="AE17" s="59"/>
      <c r="AF17" s="59"/>
      <c r="AG17" s="59"/>
      <c r="AH17" s="65"/>
      <c r="AI17" s="59"/>
      <c r="AJ17" s="65"/>
      <c r="AK17" s="65"/>
      <c r="AL17" s="65"/>
      <c r="AM17" s="59"/>
      <c r="AN17" s="59"/>
      <c r="AO17" s="59"/>
      <c r="AP17" s="65"/>
      <c r="AQ17" s="59"/>
      <c r="AR17" s="65"/>
      <c r="AS17" s="65"/>
      <c r="AT17" s="65"/>
      <c r="AU17" s="59"/>
      <c r="AV17" s="59"/>
      <c r="AW17" s="59"/>
      <c r="AX17" s="65"/>
      <c r="AY17" s="59"/>
      <c r="AZ17" s="65"/>
      <c r="BA17" s="65"/>
      <c r="BB17" s="65"/>
      <c r="BC17" s="28"/>
      <c r="BD17" s="28"/>
      <c r="BE17" s="28"/>
    </row>
    <row r="18" spans="1:57" ht="15" customHeight="1">
      <c r="A18" s="423" t="s">
        <v>28</v>
      </c>
      <c r="B18" s="133" t="s">
        <v>15</v>
      </c>
      <c r="C18" s="134"/>
      <c r="D18" s="221" t="s">
        <v>31</v>
      </c>
      <c r="E18" s="120"/>
      <c r="F18" s="70"/>
      <c r="G18" s="70"/>
      <c r="H18" s="70"/>
      <c r="I18" s="70"/>
      <c r="J18" s="70"/>
      <c r="L18" s="70"/>
      <c r="M18" s="70"/>
      <c r="N18" s="70"/>
      <c r="O18" s="70"/>
      <c r="P18" s="65"/>
      <c r="Q18" s="65"/>
      <c r="R18" s="65"/>
      <c r="S18" s="59"/>
      <c r="U18" s="59"/>
      <c r="W18" s="59"/>
      <c r="X18" s="59"/>
      <c r="Y18" s="59"/>
      <c r="Z18" s="70"/>
      <c r="AA18" s="59"/>
      <c r="AB18" s="70"/>
      <c r="AC18" s="70"/>
      <c r="AE18" s="59"/>
      <c r="AF18" s="59"/>
      <c r="AG18" s="59"/>
      <c r="AH18" s="70"/>
      <c r="AI18" s="59"/>
      <c r="AJ18" s="70"/>
      <c r="AK18" s="70"/>
      <c r="AM18" s="59"/>
      <c r="AN18" s="59"/>
      <c r="AO18" s="59"/>
      <c r="AP18" s="70"/>
      <c r="AQ18" s="59"/>
      <c r="AR18" s="70"/>
      <c r="AS18" s="70"/>
      <c r="AU18" s="59"/>
      <c r="AV18" s="59"/>
      <c r="AW18" s="59"/>
      <c r="AX18" s="70"/>
      <c r="AY18" s="59"/>
      <c r="AZ18" s="70"/>
      <c r="BA18" s="70"/>
      <c r="BC18" s="28"/>
      <c r="BD18" s="28"/>
      <c r="BE18" s="28"/>
    </row>
    <row r="19" spans="1:57" ht="15" customHeight="1">
      <c r="A19" s="430" t="s">
        <v>30</v>
      </c>
      <c r="B19" s="97" t="s">
        <v>17</v>
      </c>
      <c r="C19" s="105" t="s">
        <v>18</v>
      </c>
      <c r="D19" s="129">
        <v>400</v>
      </c>
      <c r="E19" s="120"/>
      <c r="F19" s="73"/>
      <c r="G19" s="73"/>
      <c r="H19" s="73"/>
      <c r="I19" s="73"/>
      <c r="J19" s="73"/>
      <c r="L19" s="70"/>
      <c r="M19" s="70"/>
      <c r="N19" s="70"/>
      <c r="O19" s="70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73"/>
      <c r="AA19" s="65"/>
      <c r="AB19" s="73"/>
      <c r="AC19" s="73"/>
      <c r="AE19" s="65"/>
      <c r="AF19" s="65"/>
      <c r="AG19" s="65"/>
      <c r="AH19" s="73"/>
      <c r="AI19" s="65"/>
      <c r="AJ19" s="73"/>
      <c r="AK19" s="73"/>
      <c r="AM19" s="65"/>
      <c r="AN19" s="65"/>
      <c r="AO19" s="65"/>
      <c r="AP19" s="73"/>
      <c r="AQ19" s="65"/>
      <c r="AR19" s="73"/>
      <c r="AS19" s="73"/>
      <c r="AU19" s="65"/>
      <c r="AV19" s="65"/>
      <c r="AW19" s="65"/>
      <c r="AX19" s="73"/>
      <c r="AY19" s="65"/>
      <c r="AZ19" s="73"/>
      <c r="BA19" s="73"/>
      <c r="BC19" s="28"/>
      <c r="BD19" s="28"/>
      <c r="BE19" s="28"/>
    </row>
    <row r="20" spans="1:57" ht="15" customHeight="1">
      <c r="A20" s="424"/>
      <c r="B20" s="103" t="s">
        <v>19</v>
      </c>
      <c r="C20" s="106" t="s">
        <v>20</v>
      </c>
      <c r="D20" s="128">
        <v>0</v>
      </c>
      <c r="E20" s="120"/>
      <c r="F20" s="72"/>
      <c r="G20" s="72"/>
      <c r="H20" s="68"/>
      <c r="I20" s="72"/>
      <c r="J20" s="72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72"/>
      <c r="AA20" s="65"/>
      <c r="AB20" s="72"/>
      <c r="AC20" s="72"/>
      <c r="AE20" s="65"/>
      <c r="AF20" s="65"/>
      <c r="AG20" s="65"/>
      <c r="AH20" s="72"/>
      <c r="AI20" s="65"/>
      <c r="AJ20" s="72"/>
      <c r="AK20" s="72"/>
      <c r="AM20" s="65"/>
      <c r="AN20" s="65"/>
      <c r="AO20" s="65"/>
      <c r="AP20" s="72"/>
      <c r="AQ20" s="65"/>
      <c r="AR20" s="72"/>
      <c r="AS20" s="72"/>
      <c r="AU20" s="65"/>
      <c r="AV20" s="65"/>
      <c r="AW20" s="65"/>
      <c r="AX20" s="72"/>
      <c r="AY20" s="65"/>
      <c r="AZ20" s="72"/>
      <c r="BA20" s="72"/>
      <c r="BC20" s="28"/>
      <c r="BD20" s="28"/>
      <c r="BE20" s="28"/>
    </row>
    <row r="21" spans="1:57" ht="15" customHeight="1">
      <c r="A21" s="424"/>
      <c r="B21" s="104" t="s">
        <v>21</v>
      </c>
      <c r="C21" s="107"/>
      <c r="D21" s="38">
        <f>INDEX(Z_data,MATCH(D18,[0]!material,0))</f>
        <v>8</v>
      </c>
      <c r="E21" s="120"/>
      <c r="F21" s="70"/>
      <c r="G21" s="70"/>
      <c r="H21" s="70"/>
      <c r="I21" s="70"/>
      <c r="J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E21" s="70"/>
      <c r="AF21" s="70"/>
      <c r="AG21" s="70"/>
      <c r="AH21" s="70"/>
      <c r="AI21" s="70"/>
      <c r="AJ21" s="70"/>
      <c r="AK21" s="70"/>
      <c r="AM21" s="70"/>
      <c r="AN21" s="70"/>
      <c r="AO21" s="70"/>
      <c r="AP21" s="70"/>
      <c r="AQ21" s="70"/>
      <c r="AR21" s="70"/>
      <c r="AS21" s="70"/>
      <c r="AU21" s="70"/>
      <c r="AV21" s="70"/>
      <c r="AW21" s="70"/>
      <c r="AX21" s="70"/>
      <c r="AY21" s="70"/>
      <c r="AZ21" s="70"/>
      <c r="BA21" s="70"/>
      <c r="BC21" s="28"/>
      <c r="BD21" s="28"/>
      <c r="BE21" s="28"/>
    </row>
    <row r="22" spans="1:57" ht="15" customHeight="1">
      <c r="A22" s="425" t="b">
        <v>1</v>
      </c>
      <c r="B22" s="104" t="s">
        <v>22</v>
      </c>
      <c r="C22" s="107"/>
      <c r="D22" s="38">
        <f>INDEX(A_data,MATCH(D18,[0]!material,0))</f>
        <v>16</v>
      </c>
      <c r="E22" s="120"/>
      <c r="F22" s="79"/>
      <c r="G22" s="79"/>
      <c r="H22" s="79"/>
      <c r="I22" s="79"/>
      <c r="J22" s="79"/>
      <c r="L22" s="71"/>
      <c r="M22" s="71"/>
      <c r="N22" s="71"/>
      <c r="O22" s="71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9"/>
      <c r="AA22" s="70"/>
      <c r="AB22" s="79"/>
      <c r="AC22" s="79"/>
      <c r="AE22" s="70"/>
      <c r="AF22" s="70"/>
      <c r="AG22" s="70"/>
      <c r="AH22" s="79"/>
      <c r="AI22" s="70"/>
      <c r="AJ22" s="79"/>
      <c r="AK22" s="79"/>
      <c r="AM22" s="70"/>
      <c r="AN22" s="70"/>
      <c r="AO22" s="70"/>
      <c r="AP22" s="79"/>
      <c r="AQ22" s="70"/>
      <c r="AR22" s="79"/>
      <c r="AS22" s="79"/>
      <c r="AU22" s="70"/>
      <c r="AV22" s="70"/>
      <c r="AW22" s="70"/>
      <c r="AX22" s="79"/>
      <c r="AY22" s="70"/>
      <c r="AZ22" s="79"/>
      <c r="BA22" s="79"/>
      <c r="BC22" s="28"/>
      <c r="BD22" s="28"/>
      <c r="BE22" s="28"/>
    </row>
    <row r="23" spans="1:57" ht="15" customHeight="1">
      <c r="A23" s="423" t="s">
        <v>28</v>
      </c>
      <c r="B23" s="133" t="s">
        <v>15</v>
      </c>
      <c r="C23" s="134"/>
      <c r="D23" s="222" t="s">
        <v>79</v>
      </c>
      <c r="E23" s="120"/>
      <c r="F23" s="70"/>
      <c r="G23" s="77"/>
      <c r="H23" s="77"/>
      <c r="I23" s="77"/>
      <c r="J23" s="77"/>
      <c r="K23" s="77"/>
      <c r="L23" s="65"/>
      <c r="M23" s="70"/>
      <c r="N23" s="70"/>
      <c r="O23" s="59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C23" s="70"/>
      <c r="AD23" s="70"/>
      <c r="AE23" s="70"/>
      <c r="AF23" s="70"/>
      <c r="AG23" s="70"/>
      <c r="AH23" s="70"/>
      <c r="AI23" s="70"/>
      <c r="AK23" s="70"/>
      <c r="AL23" s="70"/>
      <c r="AM23" s="70"/>
      <c r="AN23" s="70"/>
      <c r="AO23" s="70"/>
      <c r="AP23" s="70"/>
      <c r="AQ23" s="70"/>
      <c r="AS23" s="70"/>
      <c r="AT23" s="70"/>
      <c r="AU23" s="70"/>
      <c r="AV23" s="70"/>
      <c r="AW23" s="70"/>
      <c r="AX23" s="70"/>
      <c r="AY23" s="70"/>
      <c r="BA23" s="70"/>
      <c r="BB23" s="70"/>
      <c r="BC23" s="28"/>
      <c r="BD23" s="28"/>
      <c r="BE23" s="28"/>
    </row>
    <row r="24" spans="1:57" ht="15" customHeight="1">
      <c r="A24" s="421" t="s">
        <v>32</v>
      </c>
      <c r="B24" s="97" t="s">
        <v>17</v>
      </c>
      <c r="C24" s="105" t="s">
        <v>18</v>
      </c>
      <c r="D24" s="129">
        <v>1944</v>
      </c>
      <c r="E24" s="120"/>
      <c r="F24" s="70"/>
      <c r="G24" s="77"/>
      <c r="H24" s="77"/>
      <c r="I24" s="77"/>
      <c r="J24" s="77"/>
      <c r="K24" s="77"/>
      <c r="L24" s="70"/>
      <c r="M24" s="70"/>
      <c r="N24" s="70"/>
      <c r="O24" s="59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C24" s="70"/>
      <c r="AD24" s="70"/>
      <c r="AE24" s="70"/>
      <c r="AF24" s="70"/>
      <c r="AG24" s="70"/>
      <c r="AH24" s="70"/>
      <c r="AI24" s="70"/>
      <c r="AK24" s="70"/>
      <c r="AL24" s="70"/>
      <c r="AM24" s="70"/>
      <c r="AN24" s="70"/>
      <c r="AO24" s="70"/>
      <c r="AP24" s="70"/>
      <c r="AQ24" s="70"/>
      <c r="AS24" s="70"/>
      <c r="AT24" s="70"/>
      <c r="AU24" s="70"/>
      <c r="AV24" s="70"/>
      <c r="AW24" s="70"/>
      <c r="AX24" s="70"/>
      <c r="AY24" s="70"/>
      <c r="BA24" s="70"/>
      <c r="BB24" s="70"/>
      <c r="BC24" s="28"/>
      <c r="BD24" s="28"/>
      <c r="BE24" s="28"/>
    </row>
    <row r="25" spans="1:57" ht="15" customHeight="1">
      <c r="A25" s="424"/>
      <c r="B25" s="103" t="s">
        <v>19</v>
      </c>
      <c r="C25" s="106" t="s">
        <v>20</v>
      </c>
      <c r="D25" s="128">
        <v>0</v>
      </c>
      <c r="E25" s="120"/>
      <c r="F25" s="65"/>
      <c r="G25" s="77"/>
      <c r="H25" s="77"/>
      <c r="I25" s="77"/>
      <c r="J25" s="77"/>
      <c r="K25" s="77"/>
      <c r="L25" s="59"/>
      <c r="M25" s="59"/>
      <c r="N25" s="59"/>
      <c r="O25" s="80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28"/>
      <c r="BD25" s="28"/>
      <c r="BE25" s="28"/>
    </row>
    <row r="26" spans="1:57" ht="15" customHeight="1">
      <c r="A26" s="424"/>
      <c r="B26" s="104" t="s">
        <v>21</v>
      </c>
      <c r="C26" s="107"/>
      <c r="D26" s="38">
        <f>INDEX(Z_data,MATCH(D23,[0]!material,0))</f>
        <v>1</v>
      </c>
      <c r="E26" s="120"/>
      <c r="F26" s="70"/>
      <c r="G26" s="77"/>
      <c r="H26" s="77"/>
      <c r="I26" s="77"/>
      <c r="J26" s="77"/>
      <c r="K26" s="77"/>
      <c r="L26" s="77"/>
      <c r="M26" s="77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28"/>
      <c r="BD26" s="28"/>
      <c r="BE26" s="28"/>
    </row>
    <row r="27" spans="1:57" ht="15" customHeight="1">
      <c r="A27" s="425" t="b">
        <v>0</v>
      </c>
      <c r="B27" s="104" t="s">
        <v>22</v>
      </c>
      <c r="C27" s="107"/>
      <c r="D27" s="38">
        <f>INDEX(A_data,MATCH(D23,[0]!material,0))</f>
        <v>2</v>
      </c>
      <c r="E27" s="120"/>
      <c r="F27" s="71"/>
      <c r="G27" s="77"/>
      <c r="H27" s="77"/>
      <c r="I27" s="77"/>
      <c r="J27" s="77"/>
      <c r="K27" s="77"/>
      <c r="L27" s="77"/>
      <c r="M27" s="77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1"/>
      <c r="AA27" s="70"/>
      <c r="AB27" s="71"/>
      <c r="AC27" s="71"/>
      <c r="AD27" s="71"/>
      <c r="AE27" s="70"/>
      <c r="AF27" s="70"/>
      <c r="AG27" s="70"/>
      <c r="AH27" s="71"/>
      <c r="AI27" s="70"/>
      <c r="AJ27" s="71"/>
      <c r="AK27" s="71"/>
      <c r="AL27" s="71"/>
      <c r="AM27" s="70"/>
      <c r="AN27" s="70"/>
      <c r="AO27" s="70"/>
      <c r="AP27" s="71"/>
      <c r="AQ27" s="70"/>
      <c r="AR27" s="71"/>
      <c r="AS27" s="71"/>
      <c r="AT27" s="71"/>
      <c r="AU27" s="70"/>
      <c r="AV27" s="70"/>
      <c r="AW27" s="70"/>
      <c r="AX27" s="71"/>
      <c r="AY27" s="70"/>
      <c r="AZ27" s="71"/>
      <c r="BA27" s="71"/>
      <c r="BB27" s="71"/>
      <c r="BC27" s="28"/>
      <c r="BD27" s="28"/>
      <c r="BE27" s="28"/>
    </row>
    <row r="28" spans="1:57" ht="15" customHeight="1">
      <c r="A28" s="423" t="s">
        <v>28</v>
      </c>
      <c r="B28" s="133" t="s">
        <v>15</v>
      </c>
      <c r="C28" s="134"/>
      <c r="D28" s="222" t="s">
        <v>79</v>
      </c>
      <c r="E28" s="120"/>
      <c r="F28" s="71"/>
      <c r="G28" s="77"/>
      <c r="H28" s="77"/>
      <c r="I28" s="77"/>
      <c r="J28" s="77"/>
      <c r="K28" s="77"/>
      <c r="L28" s="77"/>
      <c r="M28" s="77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1"/>
      <c r="AA28" s="70"/>
      <c r="AB28" s="71"/>
      <c r="AC28" s="71"/>
      <c r="AD28" s="71"/>
      <c r="AE28" s="70"/>
      <c r="AF28" s="70"/>
      <c r="AG28" s="70"/>
      <c r="AH28" s="71"/>
      <c r="AI28" s="70"/>
      <c r="AJ28" s="71"/>
      <c r="AK28" s="71"/>
      <c r="AL28" s="71"/>
      <c r="AM28" s="70"/>
      <c r="AN28" s="70"/>
      <c r="AO28" s="70"/>
      <c r="AP28" s="71"/>
      <c r="AQ28" s="70"/>
      <c r="AR28" s="71"/>
      <c r="AS28" s="71"/>
      <c r="AT28" s="71"/>
      <c r="AU28" s="70"/>
      <c r="AV28" s="70"/>
      <c r="AW28" s="70"/>
      <c r="AX28" s="71"/>
      <c r="AY28" s="70"/>
      <c r="AZ28" s="71"/>
      <c r="BA28" s="71"/>
      <c r="BB28" s="71"/>
      <c r="BC28" s="28"/>
      <c r="BD28" s="28"/>
      <c r="BE28" s="28"/>
    </row>
    <row r="29" spans="1:57" ht="15" customHeight="1">
      <c r="A29" s="421" t="s">
        <v>34</v>
      </c>
      <c r="B29" s="97" t="s">
        <v>17</v>
      </c>
      <c r="C29" s="105" t="s">
        <v>18</v>
      </c>
      <c r="D29" s="129">
        <v>1944</v>
      </c>
      <c r="E29" s="120"/>
      <c r="F29" s="71"/>
      <c r="G29" s="77"/>
      <c r="H29" s="77"/>
      <c r="I29" s="77"/>
      <c r="J29" s="77"/>
      <c r="K29" s="77"/>
      <c r="L29" s="77"/>
      <c r="M29" s="77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1"/>
      <c r="AA29" s="70"/>
      <c r="AB29" s="71"/>
      <c r="AC29" s="71"/>
      <c r="AD29" s="71"/>
      <c r="AE29" s="70"/>
      <c r="AF29" s="70"/>
      <c r="AG29" s="70"/>
      <c r="AH29" s="71"/>
      <c r="AI29" s="70"/>
      <c r="AJ29" s="71"/>
      <c r="AK29" s="71"/>
      <c r="AL29" s="71"/>
      <c r="AM29" s="70"/>
      <c r="AN29" s="70"/>
      <c r="AO29" s="70"/>
      <c r="AP29" s="71"/>
      <c r="AQ29" s="70"/>
      <c r="AR29" s="71"/>
      <c r="AS29" s="71"/>
      <c r="AT29" s="71"/>
      <c r="AU29" s="70"/>
      <c r="AV29" s="70"/>
      <c r="AW29" s="70"/>
      <c r="AX29" s="71"/>
      <c r="AY29" s="70"/>
      <c r="AZ29" s="71"/>
      <c r="BA29" s="71"/>
      <c r="BB29" s="71"/>
      <c r="BC29" s="28"/>
      <c r="BD29" s="28"/>
      <c r="BE29" s="28"/>
    </row>
    <row r="30" spans="1:57" ht="15" customHeight="1">
      <c r="A30" s="424"/>
      <c r="B30" s="103" t="s">
        <v>19</v>
      </c>
      <c r="C30" s="106" t="s">
        <v>20</v>
      </c>
      <c r="D30" s="128">
        <v>0</v>
      </c>
      <c r="E30" s="120"/>
      <c r="F30" s="71"/>
      <c r="G30" s="77"/>
      <c r="H30" s="77"/>
      <c r="I30" s="77"/>
      <c r="J30" s="77"/>
      <c r="K30" s="77"/>
      <c r="L30" s="77"/>
      <c r="M30" s="77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1"/>
      <c r="AA30" s="70"/>
      <c r="AB30" s="71"/>
      <c r="AC30" s="71"/>
      <c r="AD30" s="71"/>
      <c r="AE30" s="70"/>
      <c r="AF30" s="70"/>
      <c r="AG30" s="70"/>
      <c r="AH30" s="71"/>
      <c r="AI30" s="70"/>
      <c r="AJ30" s="71"/>
      <c r="AK30" s="71"/>
      <c r="AL30" s="71"/>
      <c r="AM30" s="70"/>
      <c r="AN30" s="70"/>
      <c r="AO30" s="70"/>
      <c r="AP30" s="71"/>
      <c r="AQ30" s="70"/>
      <c r="AR30" s="71"/>
      <c r="AS30" s="71"/>
      <c r="AT30" s="71"/>
      <c r="AU30" s="70"/>
      <c r="AV30" s="70"/>
      <c r="AW30" s="70"/>
      <c r="AX30" s="71"/>
      <c r="AY30" s="70"/>
      <c r="AZ30" s="71"/>
      <c r="BA30" s="71"/>
      <c r="BB30" s="71"/>
      <c r="BC30" s="28"/>
      <c r="BD30" s="28"/>
      <c r="BE30" s="28"/>
    </row>
    <row r="31" spans="1:57" ht="15" customHeight="1">
      <c r="A31" s="424"/>
      <c r="B31" s="104" t="s">
        <v>21</v>
      </c>
      <c r="C31" s="107"/>
      <c r="D31" s="38">
        <f>INDEX(Z_data,MATCH(D28,[0]!material,0))</f>
        <v>1</v>
      </c>
      <c r="E31" s="120"/>
      <c r="F31" s="71"/>
      <c r="G31" s="77"/>
      <c r="H31" s="77"/>
      <c r="I31" s="77"/>
      <c r="J31" s="77"/>
      <c r="K31" s="77"/>
      <c r="L31" s="77"/>
      <c r="M31" s="77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1"/>
      <c r="AA31" s="70"/>
      <c r="AB31" s="71"/>
      <c r="AC31" s="71"/>
      <c r="AD31" s="71"/>
      <c r="AE31" s="70"/>
      <c r="AF31" s="70"/>
      <c r="AG31" s="70"/>
      <c r="AH31" s="71"/>
      <c r="AI31" s="70"/>
      <c r="AJ31" s="71"/>
      <c r="AK31" s="71"/>
      <c r="AL31" s="71"/>
      <c r="AM31" s="70"/>
      <c r="AN31" s="70"/>
      <c r="AO31" s="70"/>
      <c r="AP31" s="71"/>
      <c r="AQ31" s="70"/>
      <c r="AR31" s="71"/>
      <c r="AS31" s="71"/>
      <c r="AT31" s="71"/>
      <c r="AU31" s="70"/>
      <c r="AV31" s="70"/>
      <c r="AW31" s="70"/>
      <c r="AX31" s="71"/>
      <c r="AY31" s="70"/>
      <c r="AZ31" s="71"/>
      <c r="BA31" s="71"/>
      <c r="BB31" s="71"/>
      <c r="BC31" s="28"/>
      <c r="BD31" s="28"/>
      <c r="BE31" s="28"/>
    </row>
    <row r="32" spans="1:57" ht="15" customHeight="1">
      <c r="A32" s="425" t="b">
        <v>0</v>
      </c>
      <c r="B32" s="104" t="s">
        <v>22</v>
      </c>
      <c r="C32" s="107"/>
      <c r="D32" s="38">
        <f>INDEX(A_data,MATCH(D28,[0]!material,0))</f>
        <v>2</v>
      </c>
      <c r="E32" s="120"/>
      <c r="F32" s="71"/>
      <c r="G32" s="77"/>
      <c r="H32" s="77"/>
      <c r="I32" s="77"/>
      <c r="J32" s="77"/>
      <c r="K32" s="77"/>
      <c r="L32" s="77"/>
      <c r="M32" s="77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1"/>
      <c r="AA32" s="70"/>
      <c r="AB32" s="71"/>
      <c r="AC32" s="71"/>
      <c r="AD32" s="71"/>
      <c r="AE32" s="70"/>
      <c r="AF32" s="70"/>
      <c r="AG32" s="70"/>
      <c r="AH32" s="71"/>
      <c r="AI32" s="70"/>
      <c r="AJ32" s="71"/>
      <c r="AK32" s="71"/>
      <c r="AL32" s="71"/>
      <c r="AM32" s="70"/>
      <c r="AN32" s="70"/>
      <c r="AO32" s="70"/>
      <c r="AP32" s="71"/>
      <c r="AQ32" s="70"/>
      <c r="AR32" s="71"/>
      <c r="AS32" s="71"/>
      <c r="AT32" s="71"/>
      <c r="AU32" s="70"/>
      <c r="AV32" s="70"/>
      <c r="AW32" s="70"/>
      <c r="AX32" s="71"/>
      <c r="AY32" s="70"/>
      <c r="AZ32" s="71"/>
      <c r="BA32" s="71"/>
      <c r="BB32" s="71"/>
      <c r="BC32" s="28"/>
      <c r="BD32" s="28"/>
      <c r="BE32" s="28"/>
    </row>
    <row r="33" spans="1:57" ht="15" customHeight="1">
      <c r="A33" s="423" t="s">
        <v>28</v>
      </c>
      <c r="B33" s="133" t="s">
        <v>15</v>
      </c>
      <c r="C33" s="134"/>
      <c r="D33" s="222" t="s">
        <v>79</v>
      </c>
      <c r="E33" s="120"/>
      <c r="F33" s="71"/>
      <c r="G33" s="77"/>
      <c r="H33" s="77"/>
      <c r="I33" s="77"/>
      <c r="J33" s="77"/>
      <c r="K33" s="77"/>
      <c r="L33" s="77"/>
      <c r="M33" s="77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1"/>
      <c r="AA33" s="70"/>
      <c r="AB33" s="71"/>
      <c r="AC33" s="71"/>
      <c r="AD33" s="71"/>
      <c r="AE33" s="70"/>
      <c r="AF33" s="70"/>
      <c r="AG33" s="70"/>
      <c r="AH33" s="71"/>
      <c r="AI33" s="70"/>
      <c r="AJ33" s="71"/>
      <c r="AK33" s="71"/>
      <c r="AL33" s="71"/>
      <c r="AM33" s="70"/>
      <c r="AN33" s="70"/>
      <c r="AO33" s="70"/>
      <c r="AP33" s="71"/>
      <c r="AQ33" s="70"/>
      <c r="AR33" s="71"/>
      <c r="AS33" s="71"/>
      <c r="AT33" s="71"/>
      <c r="AU33" s="70"/>
      <c r="AV33" s="70"/>
      <c r="AW33" s="70"/>
      <c r="AX33" s="71"/>
      <c r="AY33" s="70"/>
      <c r="AZ33" s="71"/>
      <c r="BA33" s="71"/>
      <c r="BB33" s="71"/>
      <c r="BC33" s="28"/>
      <c r="BD33" s="28"/>
      <c r="BE33" s="28"/>
    </row>
    <row r="34" spans="1:57" ht="15" customHeight="1">
      <c r="A34" s="421" t="s">
        <v>36</v>
      </c>
      <c r="B34" s="97" t="s">
        <v>17</v>
      </c>
      <c r="C34" s="105" t="s">
        <v>18</v>
      </c>
      <c r="D34" s="129">
        <v>1944</v>
      </c>
      <c r="E34" s="120"/>
      <c r="F34" s="71"/>
      <c r="G34" s="77"/>
      <c r="H34" s="77"/>
      <c r="I34" s="77"/>
      <c r="J34" s="77"/>
      <c r="K34" s="77"/>
      <c r="L34" s="77"/>
      <c r="M34" s="77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1"/>
      <c r="AA34" s="70"/>
      <c r="AB34" s="71"/>
      <c r="AC34" s="71"/>
      <c r="AD34" s="71"/>
      <c r="AE34" s="70"/>
      <c r="AF34" s="70"/>
      <c r="AG34" s="70"/>
      <c r="AH34" s="71"/>
      <c r="AI34" s="70"/>
      <c r="AJ34" s="71"/>
      <c r="AK34" s="71"/>
      <c r="AL34" s="71"/>
      <c r="AM34" s="70"/>
      <c r="AN34" s="70"/>
      <c r="AO34" s="70"/>
      <c r="AP34" s="71"/>
      <c r="AQ34" s="70"/>
      <c r="AR34" s="71"/>
      <c r="AS34" s="71"/>
      <c r="AT34" s="71"/>
      <c r="AU34" s="70"/>
      <c r="AV34" s="70"/>
      <c r="AW34" s="70"/>
      <c r="AX34" s="71"/>
      <c r="AY34" s="70"/>
      <c r="AZ34" s="71"/>
      <c r="BA34" s="71"/>
      <c r="BB34" s="71"/>
      <c r="BC34" s="28"/>
      <c r="BD34" s="28"/>
      <c r="BE34" s="28"/>
    </row>
    <row r="35" spans="1:57" ht="15" customHeight="1">
      <c r="A35" s="424"/>
      <c r="B35" s="103" t="s">
        <v>19</v>
      </c>
      <c r="C35" s="106" t="s">
        <v>20</v>
      </c>
      <c r="D35" s="128">
        <v>0</v>
      </c>
      <c r="E35" s="120"/>
      <c r="F35" s="71"/>
      <c r="G35" s="77"/>
      <c r="H35" s="77"/>
      <c r="I35" s="77"/>
      <c r="J35" s="77"/>
      <c r="K35" s="77"/>
      <c r="L35" s="77"/>
      <c r="M35" s="77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1"/>
      <c r="AA35" s="70"/>
      <c r="AB35" s="71"/>
      <c r="AC35" s="71"/>
      <c r="AD35" s="71"/>
      <c r="AE35" s="70"/>
      <c r="AF35" s="70"/>
      <c r="AG35" s="70"/>
      <c r="AH35" s="71"/>
      <c r="AI35" s="70"/>
      <c r="AJ35" s="71"/>
      <c r="AK35" s="71"/>
      <c r="AL35" s="71"/>
      <c r="AM35" s="70"/>
      <c r="AN35" s="70"/>
      <c r="AO35" s="70"/>
      <c r="AP35" s="71"/>
      <c r="AQ35" s="70"/>
      <c r="AR35" s="71"/>
      <c r="AS35" s="71"/>
      <c r="AT35" s="71"/>
      <c r="AU35" s="70"/>
      <c r="AV35" s="70"/>
      <c r="AW35" s="70"/>
      <c r="AX35" s="71"/>
      <c r="AY35" s="70"/>
      <c r="AZ35" s="71"/>
      <c r="BA35" s="71"/>
      <c r="BB35" s="71"/>
      <c r="BC35" s="28"/>
      <c r="BD35" s="28"/>
      <c r="BE35" s="28"/>
    </row>
    <row r="36" spans="1:57" ht="15" customHeight="1">
      <c r="A36" s="424"/>
      <c r="B36" s="104" t="s">
        <v>21</v>
      </c>
      <c r="C36" s="107"/>
      <c r="D36" s="38">
        <f>INDEX(Z_data,MATCH(D33,[0]!material,0))</f>
        <v>1</v>
      </c>
      <c r="E36" s="120"/>
      <c r="F36" s="71"/>
      <c r="G36" s="77"/>
      <c r="H36" s="77"/>
      <c r="I36" s="77"/>
      <c r="J36" s="77"/>
      <c r="K36" s="77"/>
      <c r="L36" s="77"/>
      <c r="M36" s="77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1"/>
      <c r="AA36" s="70"/>
      <c r="AB36" s="71"/>
      <c r="AC36" s="71"/>
      <c r="AD36" s="71"/>
      <c r="AE36" s="70"/>
      <c r="AF36" s="70"/>
      <c r="AG36" s="70"/>
      <c r="AH36" s="71"/>
      <c r="AI36" s="70"/>
      <c r="AJ36" s="71"/>
      <c r="AK36" s="71"/>
      <c r="AL36" s="71"/>
      <c r="AM36" s="70"/>
      <c r="AN36" s="70"/>
      <c r="AO36" s="70"/>
      <c r="AP36" s="71"/>
      <c r="AQ36" s="70"/>
      <c r="AR36" s="71"/>
      <c r="AS36" s="71"/>
      <c r="AT36" s="71"/>
      <c r="AU36" s="70"/>
      <c r="AV36" s="70"/>
      <c r="AW36" s="70"/>
      <c r="AX36" s="71"/>
      <c r="AY36" s="70"/>
      <c r="AZ36" s="71"/>
      <c r="BA36" s="71"/>
      <c r="BB36" s="71"/>
      <c r="BC36" s="28"/>
      <c r="BD36" s="28"/>
      <c r="BE36" s="28"/>
    </row>
    <row r="37" spans="1:57" ht="15" customHeight="1">
      <c r="A37" s="425" t="b">
        <v>0</v>
      </c>
      <c r="B37" s="104" t="s">
        <v>22</v>
      </c>
      <c r="C37" s="107"/>
      <c r="D37" s="38">
        <f>INDEX(A_data,MATCH(D33,[0]!material,0))</f>
        <v>2</v>
      </c>
      <c r="E37" s="120"/>
      <c r="F37" s="71"/>
      <c r="G37" s="77"/>
      <c r="H37" s="77"/>
      <c r="I37" s="77"/>
      <c r="J37" s="77"/>
      <c r="K37" s="77"/>
      <c r="L37" s="77"/>
      <c r="M37" s="77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1"/>
      <c r="AA37" s="70"/>
      <c r="AB37" s="71"/>
      <c r="AC37" s="71"/>
      <c r="AD37" s="71"/>
      <c r="AE37" s="70"/>
      <c r="AF37" s="70"/>
      <c r="AG37" s="70"/>
      <c r="AH37" s="71"/>
      <c r="AI37" s="70"/>
      <c r="AJ37" s="71"/>
      <c r="AK37" s="71"/>
      <c r="AL37" s="71"/>
      <c r="AM37" s="70"/>
      <c r="AN37" s="70"/>
      <c r="AO37" s="70"/>
      <c r="AP37" s="71"/>
      <c r="AQ37" s="70"/>
      <c r="AR37" s="71"/>
      <c r="AS37" s="71"/>
      <c r="AT37" s="71"/>
      <c r="AU37" s="70"/>
      <c r="AV37" s="70"/>
      <c r="AW37" s="70"/>
      <c r="AX37" s="71"/>
      <c r="AY37" s="70"/>
      <c r="AZ37" s="71"/>
      <c r="BA37" s="71"/>
      <c r="BB37" s="71"/>
      <c r="BC37" s="28"/>
      <c r="BD37" s="28"/>
      <c r="BE37" s="28"/>
    </row>
    <row r="38" spans="1:57" ht="15" customHeight="1">
      <c r="A38" s="423" t="s">
        <v>37</v>
      </c>
      <c r="B38" s="133" t="s">
        <v>15</v>
      </c>
      <c r="C38" s="134"/>
      <c r="D38" s="221" t="s">
        <v>26</v>
      </c>
      <c r="E38" s="120"/>
      <c r="F38" s="65"/>
      <c r="G38" s="58"/>
      <c r="H38" s="65"/>
      <c r="I38" s="77"/>
      <c r="J38" s="77"/>
      <c r="K38" s="77"/>
      <c r="L38" s="77"/>
      <c r="M38" s="77"/>
      <c r="P38" s="65"/>
      <c r="Q38" s="81"/>
      <c r="R38" s="81"/>
      <c r="S38" s="81"/>
      <c r="T38" s="81"/>
      <c r="U38" s="81"/>
      <c r="V38" s="81"/>
      <c r="W38" s="81"/>
      <c r="X38" s="81"/>
      <c r="Y38" s="81"/>
      <c r="Z38" s="58"/>
      <c r="AA38" s="81"/>
      <c r="AB38" s="65"/>
      <c r="AC38" s="65"/>
      <c r="AD38" s="65"/>
      <c r="AE38" s="81"/>
      <c r="AF38" s="81"/>
      <c r="AG38" s="81"/>
      <c r="AH38" s="58"/>
      <c r="AI38" s="81"/>
      <c r="AJ38" s="65"/>
      <c r="AK38" s="65"/>
      <c r="AL38" s="65"/>
      <c r="AM38" s="81"/>
      <c r="AN38" s="81"/>
      <c r="AO38" s="81"/>
      <c r="AP38" s="58"/>
      <c r="AQ38" s="81"/>
      <c r="AR38" s="65"/>
      <c r="AS38" s="65"/>
      <c r="AT38" s="65"/>
      <c r="AU38" s="81"/>
      <c r="AV38" s="81"/>
      <c r="AW38" s="81"/>
      <c r="AX38" s="58"/>
      <c r="AY38" s="81"/>
      <c r="AZ38" s="65"/>
      <c r="BA38" s="65"/>
      <c r="BB38" s="65"/>
      <c r="BC38" s="28"/>
      <c r="BD38" s="28"/>
      <c r="BE38" s="28"/>
    </row>
    <row r="39" spans="1:57" ht="15" customHeight="1">
      <c r="A39" s="421" t="s">
        <v>38</v>
      </c>
      <c r="B39" s="97" t="s">
        <v>17</v>
      </c>
      <c r="C39" s="105" t="s">
        <v>18</v>
      </c>
      <c r="D39" s="129">
        <v>23.6</v>
      </c>
      <c r="E39" s="120"/>
      <c r="F39" s="71"/>
      <c r="G39" s="70"/>
      <c r="H39" s="70"/>
      <c r="I39" s="77"/>
      <c r="J39" s="77"/>
      <c r="K39" s="77"/>
      <c r="L39" s="77"/>
      <c r="M39" s="77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70"/>
      <c r="AA39" s="59"/>
      <c r="AB39" s="82"/>
      <c r="AC39" s="70"/>
      <c r="AD39" s="70"/>
      <c r="AE39" s="59"/>
      <c r="AF39" s="59"/>
      <c r="AG39" s="59"/>
      <c r="AH39" s="70"/>
      <c r="AI39" s="59"/>
      <c r="AJ39" s="82"/>
      <c r="AK39" s="70"/>
      <c r="AL39" s="70"/>
      <c r="AM39" s="59"/>
      <c r="AN39" s="59"/>
      <c r="AO39" s="59"/>
      <c r="AP39" s="70"/>
      <c r="AQ39" s="59"/>
      <c r="AR39" s="82"/>
      <c r="AS39" s="70"/>
      <c r="AT39" s="70"/>
      <c r="AU39" s="59"/>
      <c r="AV39" s="59"/>
      <c r="AW39" s="59"/>
      <c r="AX39" s="70"/>
      <c r="AY39" s="59"/>
      <c r="AZ39" s="82"/>
      <c r="BA39" s="70"/>
      <c r="BB39" s="70"/>
      <c r="BC39" s="28"/>
      <c r="BD39" s="28"/>
      <c r="BE39" s="28"/>
    </row>
    <row r="40" spans="1:57" ht="15" customHeight="1">
      <c r="A40" s="424"/>
      <c r="B40" s="103" t="s">
        <v>19</v>
      </c>
      <c r="C40" s="106" t="s">
        <v>20</v>
      </c>
      <c r="D40" s="128">
        <v>0</v>
      </c>
      <c r="E40" s="120"/>
      <c r="F40" s="83"/>
      <c r="G40" s="68"/>
      <c r="H40" s="61"/>
      <c r="I40" s="77"/>
      <c r="J40" s="77"/>
      <c r="K40" s="77"/>
      <c r="L40" s="77"/>
      <c r="M40" s="77"/>
      <c r="X40" s="58"/>
      <c r="Z40" s="68"/>
      <c r="AA40" s="58"/>
      <c r="AB40" s="59"/>
      <c r="AC40" s="63"/>
      <c r="AD40" s="59"/>
      <c r="AF40" s="58"/>
      <c r="AH40" s="68"/>
      <c r="AI40" s="58"/>
      <c r="AJ40" s="59"/>
      <c r="AK40" s="63"/>
      <c r="AL40" s="59"/>
      <c r="AN40" s="58"/>
      <c r="AP40" s="68"/>
      <c r="AQ40" s="58"/>
      <c r="AR40" s="59"/>
      <c r="AS40" s="63"/>
      <c r="AT40" s="59"/>
      <c r="AV40" s="58"/>
      <c r="AX40" s="68"/>
      <c r="AY40" s="58"/>
      <c r="AZ40" s="59"/>
      <c r="BA40" s="63"/>
      <c r="BB40" s="59"/>
      <c r="BC40" s="28"/>
      <c r="BD40" s="28"/>
      <c r="BE40" s="28"/>
    </row>
    <row r="41" spans="1:57" ht="15" customHeight="1">
      <c r="A41" s="424"/>
      <c r="B41" s="104" t="s">
        <v>21</v>
      </c>
      <c r="C41" s="107"/>
      <c r="D41" s="38">
        <f>INDEX(Z_data,MATCH(D38,[0]!material,0))</f>
        <v>26</v>
      </c>
      <c r="E41" s="120"/>
      <c r="F41" s="58"/>
      <c r="G41" s="58"/>
      <c r="H41" s="58"/>
      <c r="I41" s="58"/>
      <c r="J41" s="58"/>
      <c r="L41" s="59"/>
      <c r="M41" s="59"/>
      <c r="N41" s="59"/>
      <c r="O41" s="59"/>
      <c r="X41" s="58"/>
      <c r="Z41" s="58"/>
      <c r="AA41" s="58"/>
      <c r="AF41" s="58"/>
      <c r="AH41" s="58"/>
      <c r="AI41" s="58"/>
      <c r="AN41" s="58"/>
      <c r="AP41" s="58"/>
      <c r="AQ41" s="58"/>
      <c r="AV41" s="58"/>
      <c r="AX41" s="58"/>
      <c r="AY41" s="58"/>
      <c r="BA41" s="58"/>
      <c r="BC41" s="28"/>
      <c r="BD41" s="28"/>
      <c r="BE41" s="28"/>
    </row>
    <row r="42" spans="1:57" ht="15" customHeight="1">
      <c r="A42" s="425" t="b">
        <v>1</v>
      </c>
      <c r="B42" s="104" t="s">
        <v>22</v>
      </c>
      <c r="C42" s="107"/>
      <c r="D42" s="38">
        <f>INDEX(A_data,MATCH(D38,[0]!material,0))</f>
        <v>56</v>
      </c>
      <c r="E42" s="120"/>
      <c r="F42" s="58"/>
      <c r="G42" s="58"/>
      <c r="H42" s="58"/>
      <c r="I42" s="58"/>
      <c r="J42" s="58"/>
      <c r="X42" s="58"/>
      <c r="Z42" s="58"/>
      <c r="AA42" s="58"/>
      <c r="AF42" s="58"/>
      <c r="AH42" s="58"/>
      <c r="AI42" s="58"/>
      <c r="AN42" s="58"/>
      <c r="AP42" s="58"/>
      <c r="AQ42" s="58"/>
      <c r="AV42" s="58"/>
      <c r="AX42" s="58"/>
      <c r="AY42" s="58"/>
      <c r="BA42" s="58"/>
      <c r="BC42" s="28"/>
      <c r="BD42" s="28"/>
      <c r="BE42" s="28"/>
    </row>
    <row r="43" spans="1:57" ht="15" customHeight="1">
      <c r="A43" s="431" t="s">
        <v>39</v>
      </c>
      <c r="B43" s="103" t="s">
        <v>15</v>
      </c>
      <c r="C43" s="106"/>
      <c r="D43" s="222" t="s">
        <v>33</v>
      </c>
      <c r="E43" s="120"/>
      <c r="F43" s="58"/>
      <c r="G43" s="58"/>
      <c r="H43" s="58"/>
      <c r="I43" s="58"/>
      <c r="J43" s="58"/>
      <c r="X43" s="58"/>
      <c r="Z43" s="58"/>
      <c r="AA43" s="58"/>
      <c r="AF43" s="58"/>
      <c r="AH43" s="58"/>
      <c r="AI43" s="58"/>
      <c r="AN43" s="58"/>
      <c r="AP43" s="58"/>
      <c r="AQ43" s="58"/>
      <c r="AV43" s="58"/>
      <c r="AX43" s="58"/>
      <c r="AY43" s="58"/>
      <c r="BA43" s="58"/>
      <c r="BC43" s="28"/>
      <c r="BD43" s="28"/>
      <c r="BE43" s="28"/>
    </row>
    <row r="44" spans="1:57" ht="15" customHeight="1">
      <c r="A44" s="432" t="s">
        <v>38</v>
      </c>
      <c r="B44" s="103" t="s">
        <v>17</v>
      </c>
      <c r="C44" s="106" t="s">
        <v>18</v>
      </c>
      <c r="D44" s="131">
        <v>70</v>
      </c>
      <c r="E44" s="120"/>
      <c r="F44" s="58"/>
      <c r="G44" s="58"/>
      <c r="H44" s="58"/>
      <c r="I44" s="58"/>
      <c r="J44" s="58"/>
      <c r="X44" s="58"/>
      <c r="Z44" s="58"/>
      <c r="AA44" s="58"/>
      <c r="AF44" s="58"/>
      <c r="AH44" s="58"/>
      <c r="AI44" s="58"/>
      <c r="AN44" s="58"/>
      <c r="AP44" s="58"/>
      <c r="AQ44" s="58"/>
      <c r="AV44" s="58"/>
      <c r="AX44" s="58"/>
      <c r="AY44" s="58"/>
      <c r="BA44" s="58"/>
      <c r="BC44" s="28"/>
      <c r="BD44" s="28"/>
      <c r="BE44" s="28"/>
    </row>
    <row r="45" spans="1:57" ht="15" customHeight="1">
      <c r="A45" s="433"/>
      <c r="B45" s="103" t="s">
        <v>19</v>
      </c>
      <c r="C45" s="106" t="s">
        <v>20</v>
      </c>
      <c r="D45" s="128">
        <v>0</v>
      </c>
      <c r="E45" s="120"/>
      <c r="F45" s="58"/>
      <c r="G45" s="72"/>
      <c r="H45" s="58"/>
      <c r="I45" s="68"/>
      <c r="J45" s="58"/>
      <c r="L45" s="59"/>
      <c r="M45" s="59"/>
      <c r="N45" s="59"/>
      <c r="O45" s="59"/>
      <c r="X45" s="58"/>
      <c r="Z45" s="72"/>
      <c r="AA45" s="58"/>
      <c r="AB45" s="68"/>
      <c r="AF45" s="58"/>
      <c r="AH45" s="72"/>
      <c r="AI45" s="58"/>
      <c r="AJ45" s="68"/>
      <c r="AN45" s="58"/>
      <c r="AP45" s="72"/>
      <c r="AQ45" s="58"/>
      <c r="AR45" s="68"/>
      <c r="AV45" s="58"/>
      <c r="AX45" s="72"/>
      <c r="AY45" s="58"/>
      <c r="AZ45" s="68"/>
      <c r="BA45" s="58"/>
      <c r="BC45" s="28"/>
      <c r="BD45" s="28"/>
      <c r="BE45" s="28"/>
    </row>
    <row r="46" spans="1:57" ht="15" customHeight="1">
      <c r="A46" s="433"/>
      <c r="B46" s="104" t="s">
        <v>21</v>
      </c>
      <c r="C46" s="107"/>
      <c r="D46" s="38">
        <f>INDEX(Z_data,MATCH(D43,material,0))</f>
        <v>13</v>
      </c>
      <c r="E46" s="120"/>
      <c r="F46" s="59"/>
      <c r="G46" s="70"/>
      <c r="H46" s="59"/>
      <c r="I46" s="59"/>
      <c r="J46" s="59"/>
      <c r="K46" s="59"/>
      <c r="L46" s="59"/>
      <c r="M46" s="59"/>
      <c r="N46" s="59"/>
      <c r="O46" s="59"/>
      <c r="P46" s="59"/>
      <c r="Q46" s="59"/>
      <c r="X46" s="58"/>
      <c r="Z46" s="70"/>
      <c r="AA46" s="58"/>
      <c r="AB46" s="59"/>
      <c r="AC46" s="59"/>
      <c r="AD46" s="59"/>
      <c r="AF46" s="58"/>
      <c r="AH46" s="70"/>
      <c r="AI46" s="58"/>
      <c r="AJ46" s="59"/>
      <c r="AK46" s="59"/>
      <c r="AL46" s="59"/>
      <c r="AN46" s="58"/>
      <c r="AP46" s="70"/>
      <c r="AQ46" s="58"/>
      <c r="AR46" s="59"/>
      <c r="AS46" s="59"/>
      <c r="AT46" s="59"/>
      <c r="AV46" s="58"/>
      <c r="AX46" s="70"/>
      <c r="AY46" s="58"/>
      <c r="AZ46" s="59"/>
      <c r="BA46" s="59"/>
      <c r="BB46" s="59"/>
      <c r="BC46" s="28"/>
      <c r="BD46" s="28"/>
      <c r="BE46" s="28"/>
    </row>
    <row r="47" spans="1:57" ht="15" customHeight="1">
      <c r="A47" s="434" t="b">
        <v>0</v>
      </c>
      <c r="B47" s="104" t="s">
        <v>22</v>
      </c>
      <c r="C47" s="107"/>
      <c r="D47" s="38">
        <f>INDEX(A_data,MATCH(D43,material,0))</f>
        <v>27</v>
      </c>
      <c r="E47" s="120"/>
      <c r="F47" s="58"/>
      <c r="G47" s="70"/>
      <c r="H47" s="58"/>
      <c r="I47" s="58"/>
      <c r="J47" s="58"/>
      <c r="L47" s="59"/>
      <c r="M47" s="59"/>
      <c r="N47" s="59"/>
      <c r="O47" s="59"/>
      <c r="X47" s="58"/>
      <c r="Z47" s="70"/>
      <c r="AA47" s="58"/>
      <c r="AF47" s="58"/>
      <c r="AH47" s="70"/>
      <c r="AI47" s="58"/>
      <c r="AN47" s="58"/>
      <c r="AP47" s="70"/>
      <c r="AQ47" s="58"/>
      <c r="AV47" s="58"/>
      <c r="AX47" s="70"/>
      <c r="AY47" s="58"/>
      <c r="BA47" s="58"/>
      <c r="BC47" s="28"/>
      <c r="BD47" s="28"/>
      <c r="BE47" s="28"/>
    </row>
    <row r="48" spans="1:57" ht="15" customHeight="1">
      <c r="A48" s="431" t="s">
        <v>40</v>
      </c>
      <c r="B48" s="104" t="s">
        <v>15</v>
      </c>
      <c r="C48" s="107"/>
      <c r="D48" s="221" t="s">
        <v>41</v>
      </c>
      <c r="E48" s="120"/>
      <c r="F48" s="58"/>
      <c r="G48" s="77"/>
      <c r="H48" s="77"/>
      <c r="I48" s="77"/>
      <c r="J48" s="77"/>
      <c r="K48" s="77"/>
      <c r="L48" s="59"/>
      <c r="M48" s="59"/>
      <c r="N48" s="59"/>
      <c r="O48" s="59"/>
      <c r="X48" s="58"/>
      <c r="Z48" s="58"/>
      <c r="AA48" s="58"/>
      <c r="AF48" s="58"/>
      <c r="AH48" s="58"/>
      <c r="AI48" s="58"/>
      <c r="AN48" s="58"/>
      <c r="AP48" s="58"/>
      <c r="AQ48" s="58"/>
      <c r="AV48" s="58"/>
      <c r="AX48" s="58"/>
      <c r="AY48" s="58"/>
      <c r="BA48" s="58"/>
      <c r="BC48" s="28"/>
      <c r="BD48" s="28"/>
      <c r="BE48" s="28"/>
    </row>
    <row r="49" spans="1:57" ht="15" customHeight="1">
      <c r="A49" s="432" t="s">
        <v>42</v>
      </c>
      <c r="B49" s="103" t="s">
        <v>17</v>
      </c>
      <c r="C49" s="106" t="s">
        <v>18</v>
      </c>
      <c r="D49" s="129">
        <v>230</v>
      </c>
      <c r="E49" s="120"/>
      <c r="F49" s="58"/>
      <c r="G49" s="77"/>
      <c r="H49" s="77"/>
      <c r="I49" s="77"/>
      <c r="J49" s="77"/>
      <c r="K49" s="77"/>
      <c r="L49" s="59"/>
      <c r="M49" s="59"/>
      <c r="N49" s="59"/>
      <c r="O49" s="59"/>
      <c r="X49" s="58"/>
      <c r="Z49" s="58"/>
      <c r="AA49" s="58"/>
      <c r="AF49" s="58"/>
      <c r="AH49" s="58"/>
      <c r="AI49" s="58"/>
      <c r="AN49" s="58"/>
      <c r="AP49" s="58"/>
      <c r="AQ49" s="58"/>
      <c r="AV49" s="58"/>
      <c r="AX49" s="58"/>
      <c r="AY49" s="58"/>
      <c r="BA49" s="58"/>
      <c r="BC49" s="28"/>
      <c r="BD49" s="28"/>
      <c r="BE49" s="28"/>
    </row>
    <row r="50" spans="1:57" ht="15" customHeight="1">
      <c r="A50" s="433"/>
      <c r="B50" s="103" t="s">
        <v>19</v>
      </c>
      <c r="C50" s="106" t="s">
        <v>20</v>
      </c>
      <c r="D50" s="128">
        <v>0</v>
      </c>
      <c r="E50" s="120"/>
      <c r="F50" s="59"/>
      <c r="G50" s="77"/>
      <c r="H50" s="77"/>
      <c r="I50" s="77"/>
      <c r="J50" s="77"/>
      <c r="K50" s="77"/>
      <c r="L50" s="59"/>
      <c r="M50" s="59"/>
      <c r="N50" s="59"/>
      <c r="O50" s="59"/>
      <c r="P50" s="59"/>
      <c r="Q50" s="59"/>
      <c r="R50" s="59"/>
      <c r="X50" s="58"/>
      <c r="Z50" s="58"/>
      <c r="AA50" s="58"/>
      <c r="AB50" s="59"/>
      <c r="AC50" s="59"/>
      <c r="AD50" s="59"/>
      <c r="AF50" s="58"/>
      <c r="AH50" s="58"/>
      <c r="AI50" s="58"/>
      <c r="AJ50" s="59"/>
      <c r="AK50" s="59"/>
      <c r="AL50" s="59"/>
      <c r="AN50" s="58"/>
      <c r="AP50" s="58"/>
      <c r="AQ50" s="58"/>
      <c r="AR50" s="59"/>
      <c r="AS50" s="59"/>
      <c r="AT50" s="59"/>
      <c r="AV50" s="58"/>
      <c r="AX50" s="58"/>
      <c r="AY50" s="58"/>
      <c r="AZ50" s="59"/>
      <c r="BA50" s="59"/>
      <c r="BB50" s="59"/>
      <c r="BC50" s="28"/>
      <c r="BD50" s="28"/>
      <c r="BE50" s="28"/>
    </row>
    <row r="51" spans="1:57" ht="15" customHeight="1">
      <c r="A51" s="433" t="s">
        <v>43</v>
      </c>
      <c r="B51" s="104" t="s">
        <v>21</v>
      </c>
      <c r="C51" s="107"/>
      <c r="D51" s="38">
        <f>INDEX(Z_data,MATCH(D48,[0]!material,0))</f>
        <v>2</v>
      </c>
      <c r="E51" s="120"/>
      <c r="F51" s="59"/>
      <c r="G51" s="77"/>
      <c r="H51" s="77"/>
      <c r="I51" s="77"/>
      <c r="J51" s="77"/>
      <c r="K51" s="77"/>
      <c r="L51" s="59"/>
      <c r="M51" s="59"/>
      <c r="N51" s="59"/>
      <c r="O51" s="59"/>
      <c r="P51" s="59"/>
      <c r="Q51" s="59"/>
      <c r="R51" s="59"/>
      <c r="X51" s="58"/>
      <c r="Z51" s="58"/>
      <c r="AA51" s="58"/>
      <c r="AB51" s="59"/>
      <c r="AC51" s="59"/>
      <c r="AD51" s="59"/>
      <c r="AF51" s="58"/>
      <c r="AH51" s="58"/>
      <c r="AI51" s="58"/>
      <c r="AJ51" s="59"/>
      <c r="AK51" s="59"/>
      <c r="AL51" s="59"/>
      <c r="AN51" s="58"/>
      <c r="AP51" s="58"/>
      <c r="AQ51" s="58"/>
      <c r="AR51" s="59"/>
      <c r="AS51" s="59"/>
      <c r="AT51" s="59"/>
      <c r="AV51" s="58"/>
      <c r="AX51" s="58"/>
      <c r="AY51" s="58"/>
      <c r="AZ51" s="59"/>
      <c r="BA51" s="59"/>
      <c r="BB51" s="59"/>
      <c r="BC51" s="28"/>
      <c r="BD51" s="28"/>
      <c r="BE51" s="28"/>
    </row>
    <row r="52" spans="1:57" ht="15" customHeight="1">
      <c r="A52" s="434" t="b">
        <v>0</v>
      </c>
      <c r="B52" s="104" t="s">
        <v>22</v>
      </c>
      <c r="C52" s="107"/>
      <c r="D52" s="38">
        <f>INDEX(A_data,MATCH(D48,[0]!material,0))</f>
        <v>4</v>
      </c>
      <c r="E52" s="120"/>
      <c r="F52" s="59"/>
      <c r="G52" s="77"/>
      <c r="H52" s="77"/>
      <c r="I52" s="77"/>
      <c r="J52" s="77"/>
      <c r="K52" s="77"/>
      <c r="L52" s="59"/>
      <c r="M52" s="59"/>
      <c r="N52" s="59"/>
      <c r="O52" s="59"/>
      <c r="P52" s="59"/>
      <c r="Q52" s="59"/>
      <c r="R52" s="59"/>
      <c r="X52" s="58"/>
      <c r="Z52" s="58"/>
      <c r="AA52" s="58"/>
      <c r="AB52" s="59"/>
      <c r="AC52" s="59"/>
      <c r="AD52" s="59"/>
      <c r="AF52" s="58"/>
      <c r="AH52" s="58"/>
      <c r="AI52" s="58"/>
      <c r="AJ52" s="59"/>
      <c r="AK52" s="59"/>
      <c r="AL52" s="59"/>
      <c r="AN52" s="58"/>
      <c r="AP52" s="58"/>
      <c r="AQ52" s="58"/>
      <c r="AR52" s="59"/>
      <c r="AS52" s="59"/>
      <c r="AT52" s="59"/>
      <c r="AV52" s="58"/>
      <c r="AX52" s="58"/>
      <c r="AY52" s="58"/>
      <c r="AZ52" s="59"/>
      <c r="BA52" s="59"/>
      <c r="BB52" s="59"/>
      <c r="BC52" s="28"/>
      <c r="BD52" s="28"/>
      <c r="BE52" s="28"/>
    </row>
    <row r="53" spans="1:57" ht="15" customHeight="1">
      <c r="A53" s="423" t="s">
        <v>44</v>
      </c>
      <c r="B53" s="133" t="s">
        <v>15</v>
      </c>
      <c r="C53" s="134"/>
      <c r="D53" s="221" t="s">
        <v>41</v>
      </c>
      <c r="E53" s="120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X53" s="58"/>
      <c r="Z53" s="59"/>
      <c r="AA53" s="58"/>
      <c r="AB53" s="59"/>
      <c r="AC53" s="59"/>
      <c r="AD53" s="59"/>
      <c r="AF53" s="58"/>
      <c r="AH53" s="59"/>
      <c r="AI53" s="58"/>
      <c r="AJ53" s="59"/>
      <c r="AK53" s="59"/>
      <c r="AL53" s="59"/>
      <c r="AN53" s="58"/>
      <c r="AP53" s="59"/>
      <c r="AQ53" s="58"/>
      <c r="AR53" s="59"/>
      <c r="AS53" s="59"/>
      <c r="AT53" s="59"/>
      <c r="AV53" s="58"/>
      <c r="AX53" s="59"/>
      <c r="AY53" s="58"/>
      <c r="AZ53" s="59"/>
      <c r="BA53" s="59"/>
      <c r="BB53" s="59"/>
      <c r="BC53" s="28"/>
      <c r="BD53" s="28"/>
      <c r="BE53" s="28"/>
    </row>
    <row r="54" spans="1:57" ht="15" customHeight="1">
      <c r="A54" s="421" t="s">
        <v>27</v>
      </c>
      <c r="B54" s="97" t="s">
        <v>17</v>
      </c>
      <c r="C54" s="105" t="s">
        <v>18</v>
      </c>
      <c r="D54" s="129">
        <v>230</v>
      </c>
      <c r="E54" s="120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X54" s="58"/>
      <c r="Z54" s="59"/>
      <c r="AA54" s="58"/>
      <c r="AB54" s="59"/>
      <c r="AC54" s="59"/>
      <c r="AD54" s="59"/>
      <c r="AF54" s="58"/>
      <c r="AH54" s="59"/>
      <c r="AI54" s="58"/>
      <c r="AJ54" s="59"/>
      <c r="AK54" s="59"/>
      <c r="AL54" s="59"/>
      <c r="AN54" s="58"/>
      <c r="AP54" s="59"/>
      <c r="AQ54" s="58"/>
      <c r="AR54" s="59"/>
      <c r="AS54" s="59"/>
      <c r="AT54" s="59"/>
      <c r="AV54" s="58"/>
      <c r="AX54" s="59"/>
      <c r="AY54" s="58"/>
      <c r="AZ54" s="59"/>
      <c r="BA54" s="59"/>
      <c r="BB54" s="59"/>
      <c r="BC54" s="28"/>
      <c r="BD54" s="28"/>
      <c r="BE54" s="28"/>
    </row>
    <row r="55" spans="1:57" ht="15" customHeight="1">
      <c r="A55" s="424"/>
      <c r="B55" s="103" t="s">
        <v>19</v>
      </c>
      <c r="C55" s="106" t="s">
        <v>20</v>
      </c>
      <c r="D55" s="43" t="s">
        <v>45</v>
      </c>
      <c r="E55" s="120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X55" s="58"/>
      <c r="Z55" s="59"/>
      <c r="AA55" s="58"/>
      <c r="AB55" s="59"/>
      <c r="AC55" s="59"/>
      <c r="AD55" s="59"/>
      <c r="AF55" s="58"/>
      <c r="AH55" s="59"/>
      <c r="AI55" s="58"/>
      <c r="AJ55" s="59"/>
      <c r="AK55" s="59"/>
      <c r="AL55" s="59"/>
      <c r="AN55" s="58"/>
      <c r="AP55" s="59"/>
      <c r="AQ55" s="58"/>
      <c r="AR55" s="59"/>
      <c r="AS55" s="59"/>
      <c r="AT55" s="59"/>
      <c r="AV55" s="58"/>
      <c r="AX55" s="59"/>
      <c r="AY55" s="58"/>
      <c r="AZ55" s="59"/>
      <c r="BA55" s="59"/>
      <c r="BB55" s="59"/>
      <c r="BC55" s="28"/>
      <c r="BD55" s="28"/>
      <c r="BE55" s="28"/>
    </row>
    <row r="56" spans="1:57" ht="15" customHeight="1">
      <c r="A56" s="424"/>
      <c r="B56" s="104" t="s">
        <v>21</v>
      </c>
      <c r="C56" s="107"/>
      <c r="D56" s="38">
        <f>INDEX(Z_data,MATCH(D53,[0]!material,0))</f>
        <v>2</v>
      </c>
      <c r="E56" s="120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X56" s="58"/>
      <c r="Z56" s="59"/>
      <c r="AA56" s="58"/>
      <c r="AB56" s="59"/>
      <c r="AC56" s="59"/>
      <c r="AD56" s="59"/>
      <c r="AF56" s="58"/>
      <c r="AH56" s="59"/>
      <c r="AI56" s="58"/>
      <c r="AJ56" s="59"/>
      <c r="AK56" s="59"/>
      <c r="AL56" s="59"/>
      <c r="AN56" s="58"/>
      <c r="AP56" s="59"/>
      <c r="AQ56" s="58"/>
      <c r="AR56" s="59"/>
      <c r="AS56" s="59"/>
      <c r="AT56" s="59"/>
      <c r="AV56" s="58"/>
      <c r="AX56" s="59"/>
      <c r="AY56" s="58"/>
      <c r="AZ56" s="59"/>
      <c r="BA56" s="59"/>
      <c r="BB56" s="59"/>
      <c r="BC56" s="28"/>
      <c r="BD56" s="28"/>
      <c r="BE56" s="28"/>
    </row>
    <row r="57" spans="1:57" ht="15" customHeight="1">
      <c r="A57" s="425" t="b">
        <v>0</v>
      </c>
      <c r="B57" s="104" t="s">
        <v>22</v>
      </c>
      <c r="C57" s="107"/>
      <c r="D57" s="38">
        <f>INDEX(A_data,MATCH(D53,[0]!material,0))</f>
        <v>4</v>
      </c>
      <c r="E57" s="120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X57" s="58"/>
      <c r="Z57" s="59"/>
      <c r="AA57" s="58"/>
      <c r="AB57" s="59"/>
      <c r="AC57" s="59"/>
      <c r="AD57" s="59"/>
      <c r="AF57" s="58"/>
      <c r="AH57" s="59"/>
      <c r="AI57" s="58"/>
      <c r="AJ57" s="59"/>
      <c r="AK57" s="59"/>
      <c r="AL57" s="59"/>
      <c r="AN57" s="58"/>
      <c r="AP57" s="59"/>
      <c r="AQ57" s="58"/>
      <c r="AR57" s="59"/>
      <c r="AS57" s="59"/>
      <c r="AT57" s="59"/>
      <c r="AV57" s="58"/>
      <c r="AX57" s="59"/>
      <c r="AY57" s="58"/>
      <c r="AZ57" s="59"/>
      <c r="BA57" s="59"/>
      <c r="BB57" s="59"/>
      <c r="BC57" s="28"/>
      <c r="BD57" s="28"/>
      <c r="BE57" s="28"/>
    </row>
    <row r="58" spans="1:57" ht="15" customHeight="1">
      <c r="A58" s="431" t="s">
        <v>40</v>
      </c>
      <c r="B58" s="104" t="s">
        <v>15</v>
      </c>
      <c r="C58" s="107"/>
      <c r="D58" s="221" t="s">
        <v>41</v>
      </c>
      <c r="E58" s="120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X58" s="58"/>
      <c r="Z58" s="59"/>
      <c r="AA58" s="58"/>
      <c r="AB58" s="59"/>
      <c r="AC58" s="59"/>
      <c r="AD58" s="59"/>
      <c r="AF58" s="58"/>
      <c r="AH58" s="59"/>
      <c r="AI58" s="58"/>
      <c r="AJ58" s="59"/>
      <c r="AK58" s="59"/>
      <c r="AL58" s="59"/>
      <c r="AN58" s="58"/>
      <c r="AP58" s="59"/>
      <c r="AQ58" s="58"/>
      <c r="AR58" s="59"/>
      <c r="AS58" s="59"/>
      <c r="AT58" s="59"/>
      <c r="AV58" s="58"/>
      <c r="AX58" s="59"/>
      <c r="AY58" s="58"/>
      <c r="AZ58" s="59"/>
      <c r="BA58" s="59"/>
      <c r="BB58" s="59"/>
      <c r="BC58" s="28"/>
      <c r="BD58" s="28"/>
      <c r="BE58" s="28"/>
    </row>
    <row r="59" spans="1:57" ht="15" customHeight="1">
      <c r="A59" s="432" t="s">
        <v>44</v>
      </c>
      <c r="B59" s="103" t="s">
        <v>17</v>
      </c>
      <c r="C59" s="106" t="s">
        <v>18</v>
      </c>
      <c r="D59" s="131">
        <v>230</v>
      </c>
      <c r="E59" s="120"/>
      <c r="F59" s="59"/>
      <c r="G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X59" s="58"/>
      <c r="Z59" s="59"/>
      <c r="AA59" s="58"/>
      <c r="AB59" s="59"/>
      <c r="AC59" s="59"/>
      <c r="AD59" s="59"/>
      <c r="AF59" s="58"/>
      <c r="AH59" s="59"/>
      <c r="AI59" s="58"/>
      <c r="AJ59" s="59"/>
      <c r="AK59" s="59"/>
      <c r="AL59" s="59"/>
      <c r="AN59" s="58"/>
      <c r="AP59" s="59"/>
      <c r="AQ59" s="58"/>
      <c r="AR59" s="59"/>
      <c r="AS59" s="59"/>
      <c r="AT59" s="59"/>
      <c r="AV59" s="58"/>
      <c r="AX59" s="59"/>
      <c r="AY59" s="58"/>
      <c r="AZ59" s="59"/>
      <c r="BA59" s="59"/>
      <c r="BB59" s="59"/>
      <c r="BC59" s="28"/>
      <c r="BD59" s="28"/>
      <c r="BE59" s="28"/>
    </row>
    <row r="60" spans="1:57" ht="15" customHeight="1">
      <c r="A60" s="435"/>
      <c r="B60" s="103" t="s">
        <v>19</v>
      </c>
      <c r="C60" s="106" t="s">
        <v>20</v>
      </c>
      <c r="D60" s="43" t="s">
        <v>45</v>
      </c>
      <c r="E60" s="120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X60" s="58"/>
      <c r="Z60" s="59"/>
      <c r="AA60" s="58"/>
      <c r="AB60" s="59"/>
      <c r="AC60" s="59"/>
      <c r="AD60" s="59"/>
      <c r="AF60" s="58"/>
      <c r="AH60" s="59"/>
      <c r="AI60" s="58"/>
      <c r="AJ60" s="59"/>
      <c r="AK60" s="59"/>
      <c r="AL60" s="59"/>
      <c r="AN60" s="58"/>
      <c r="AP60" s="59"/>
      <c r="AQ60" s="58"/>
      <c r="AR60" s="59"/>
      <c r="AS60" s="59"/>
      <c r="AT60" s="59"/>
      <c r="AV60" s="58"/>
      <c r="AX60" s="59"/>
      <c r="AY60" s="58"/>
      <c r="AZ60" s="59"/>
      <c r="BA60" s="59"/>
      <c r="BB60" s="59"/>
      <c r="BC60" s="28"/>
      <c r="BD60" s="28"/>
      <c r="BE60" s="28"/>
    </row>
    <row r="61" spans="1:57" ht="15" customHeight="1">
      <c r="A61" s="435" t="s">
        <v>46</v>
      </c>
      <c r="B61" s="104" t="s">
        <v>21</v>
      </c>
      <c r="C61" s="107"/>
      <c r="D61" s="38">
        <f>INDEX(Z_data,MATCH(D58,[0]!material,0))</f>
        <v>2</v>
      </c>
      <c r="E61" s="120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X61" s="58"/>
      <c r="Z61" s="59"/>
      <c r="AA61" s="58"/>
      <c r="AB61" s="59"/>
      <c r="AC61" s="59"/>
      <c r="AD61" s="59"/>
      <c r="AF61" s="58"/>
      <c r="AH61" s="59"/>
      <c r="AI61" s="58"/>
      <c r="AJ61" s="59"/>
      <c r="AK61" s="59"/>
      <c r="AL61" s="59"/>
      <c r="AN61" s="58"/>
      <c r="AP61" s="59"/>
      <c r="AQ61" s="58"/>
      <c r="AR61" s="59"/>
      <c r="AS61" s="59"/>
      <c r="AT61" s="59"/>
      <c r="AV61" s="58"/>
      <c r="AX61" s="59"/>
      <c r="AY61" s="58"/>
      <c r="AZ61" s="59"/>
      <c r="BA61" s="59"/>
      <c r="BB61" s="59"/>
      <c r="BC61" s="28"/>
      <c r="BD61" s="28"/>
      <c r="BE61" s="28"/>
    </row>
    <row r="62" spans="1:57" ht="15" customHeight="1">
      <c r="A62" s="434" t="b">
        <v>0</v>
      </c>
      <c r="B62" s="104" t="s">
        <v>22</v>
      </c>
      <c r="C62" s="107"/>
      <c r="D62" s="38">
        <f>INDEX(A_data,MATCH(D58,[0]!material,0))</f>
        <v>4</v>
      </c>
      <c r="E62" s="120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X62" s="58"/>
      <c r="Z62" s="59"/>
      <c r="AA62" s="58"/>
      <c r="AB62" s="59"/>
      <c r="AC62" s="59"/>
      <c r="AD62" s="59"/>
      <c r="AF62" s="58"/>
      <c r="AH62" s="59"/>
      <c r="AI62" s="58"/>
      <c r="AJ62" s="59"/>
      <c r="AK62" s="59"/>
      <c r="AL62" s="59"/>
      <c r="AN62" s="58"/>
      <c r="AP62" s="59"/>
      <c r="AQ62" s="58"/>
      <c r="AR62" s="59"/>
      <c r="AS62" s="59"/>
      <c r="AT62" s="59"/>
      <c r="AV62" s="58"/>
      <c r="AX62" s="59"/>
      <c r="AY62" s="58"/>
      <c r="AZ62" s="59"/>
      <c r="BA62" s="59"/>
      <c r="BB62" s="59"/>
      <c r="BC62" s="28"/>
      <c r="BD62" s="28"/>
      <c r="BE62" s="28"/>
    </row>
    <row r="63" spans="1:57" ht="15" customHeight="1">
      <c r="A63" s="437" t="s">
        <v>47</v>
      </c>
      <c r="B63" s="103" t="s">
        <v>48</v>
      </c>
      <c r="C63" s="106" t="s">
        <v>49</v>
      </c>
      <c r="D63" s="86">
        <v>3.125</v>
      </c>
      <c r="E63" s="120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X63" s="58"/>
      <c r="Z63" s="59"/>
      <c r="AA63" s="58"/>
      <c r="AB63" s="59"/>
      <c r="AC63" s="59"/>
      <c r="AD63" s="59"/>
      <c r="AF63" s="58"/>
      <c r="AH63" s="59"/>
      <c r="AI63" s="58"/>
      <c r="AJ63" s="59"/>
      <c r="AK63" s="59"/>
      <c r="AL63" s="59"/>
      <c r="AN63" s="58"/>
      <c r="AP63" s="59"/>
      <c r="AQ63" s="58"/>
      <c r="AR63" s="59"/>
      <c r="AS63" s="59"/>
      <c r="AT63" s="59"/>
      <c r="AV63" s="58"/>
      <c r="AX63" s="59"/>
      <c r="AY63" s="58"/>
      <c r="AZ63" s="59"/>
      <c r="BA63" s="59"/>
      <c r="BB63" s="59"/>
      <c r="BC63" s="28"/>
      <c r="BD63" s="28"/>
      <c r="BE63" s="28"/>
    </row>
    <row r="64" spans="1:57" ht="15" customHeight="1">
      <c r="A64" s="434" t="s">
        <v>38</v>
      </c>
      <c r="B64" s="104" t="s">
        <v>19</v>
      </c>
      <c r="C64" s="107" t="s">
        <v>20</v>
      </c>
      <c r="D64" s="127">
        <v>1.25</v>
      </c>
      <c r="E64" s="120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X64" s="58"/>
      <c r="Z64" s="59"/>
      <c r="AA64" s="58"/>
      <c r="AB64" s="59"/>
      <c r="AC64" s="59"/>
      <c r="AD64" s="59"/>
      <c r="AF64" s="58"/>
      <c r="AH64" s="59"/>
      <c r="AI64" s="58"/>
      <c r="AJ64" s="59"/>
      <c r="AK64" s="59"/>
      <c r="AL64" s="59"/>
      <c r="AN64" s="58"/>
      <c r="AP64" s="59"/>
      <c r="AQ64" s="58"/>
      <c r="AR64" s="59"/>
      <c r="AS64" s="59"/>
      <c r="AT64" s="59"/>
      <c r="AV64" s="58"/>
      <c r="AX64" s="59"/>
      <c r="AY64" s="58"/>
      <c r="AZ64" s="59"/>
      <c r="BA64" s="59"/>
      <c r="BB64" s="59"/>
      <c r="BC64" s="28"/>
      <c r="BD64" s="28"/>
      <c r="BE64" s="28"/>
    </row>
    <row r="65" spans="1:57" ht="15" customHeight="1" thickBot="1">
      <c r="A65" s="438" t="s">
        <v>50</v>
      </c>
      <c r="B65" s="197"/>
      <c r="C65" s="196"/>
      <c r="D65" s="37">
        <v>0.5</v>
      </c>
      <c r="E65" s="225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X65" s="58"/>
      <c r="Z65" s="59"/>
      <c r="AA65" s="58"/>
      <c r="AB65" s="59"/>
      <c r="AC65" s="59"/>
      <c r="AD65" s="59"/>
      <c r="AF65" s="58"/>
      <c r="AH65" s="59"/>
      <c r="AI65" s="58"/>
      <c r="AJ65" s="59"/>
      <c r="AK65" s="59"/>
      <c r="AL65" s="59"/>
      <c r="AN65" s="58"/>
      <c r="AP65" s="59"/>
      <c r="AQ65" s="58"/>
      <c r="AR65" s="59"/>
      <c r="AS65" s="59"/>
      <c r="AT65" s="59"/>
      <c r="AV65" s="58"/>
      <c r="AX65" s="59"/>
      <c r="AY65" s="58"/>
      <c r="AZ65" s="59"/>
      <c r="BA65" s="59"/>
      <c r="BB65" s="59"/>
      <c r="BC65" s="28"/>
      <c r="BD65" s="28"/>
      <c r="BE65" s="28"/>
    </row>
    <row r="66" spans="1:57" ht="15" customHeight="1">
      <c r="A66" s="439"/>
      <c r="B66" s="212" t="s">
        <v>51</v>
      </c>
      <c r="C66" s="108" t="s">
        <v>52</v>
      </c>
      <c r="D66" s="200">
        <v>30</v>
      </c>
      <c r="E66" s="201">
        <f ca="1">SUM(OFFSET(E66,0,-[0]!ng):OFFSET(E66,0,-1))</f>
        <v>30</v>
      </c>
      <c r="F66" s="65"/>
      <c r="G66" s="65"/>
      <c r="H66" s="88"/>
      <c r="I66" s="72"/>
      <c r="J66" s="72"/>
      <c r="K66" s="72"/>
      <c r="L66" s="59"/>
      <c r="M66" s="59"/>
      <c r="N66" s="59"/>
      <c r="O66" s="59"/>
      <c r="P66" s="59"/>
      <c r="Q66" s="59"/>
      <c r="R66" s="59"/>
      <c r="X66" s="58"/>
      <c r="Z66" s="65"/>
      <c r="AA66" s="58"/>
      <c r="AB66" s="72"/>
      <c r="AC66" s="72"/>
      <c r="AD66" s="72"/>
      <c r="AF66" s="58"/>
      <c r="AH66" s="65"/>
      <c r="AI66" s="58"/>
      <c r="AJ66" s="72"/>
      <c r="AK66" s="72"/>
      <c r="AL66" s="72"/>
      <c r="AN66" s="58"/>
      <c r="AP66" s="65"/>
      <c r="AQ66" s="58"/>
      <c r="AR66" s="72"/>
      <c r="AS66" s="72"/>
      <c r="AT66" s="72"/>
      <c r="AV66" s="58"/>
      <c r="AX66" s="65"/>
      <c r="AY66" s="58"/>
      <c r="AZ66" s="72"/>
      <c r="BA66" s="72"/>
      <c r="BB66" s="72"/>
      <c r="BC66" s="28"/>
      <c r="BD66" s="28"/>
      <c r="BE66" s="28"/>
    </row>
    <row r="67" spans="1:57" ht="15" customHeight="1">
      <c r="A67" s="445" t="s">
        <v>53</v>
      </c>
      <c r="B67" s="211" t="s">
        <v>54</v>
      </c>
      <c r="C67" s="105" t="s">
        <v>55</v>
      </c>
      <c r="D67" s="194">
        <f>D66/24</f>
        <v>1.25</v>
      </c>
      <c r="E67" s="195">
        <f ca="1">E66/24</f>
        <v>1.25</v>
      </c>
      <c r="F67" s="65"/>
      <c r="G67" s="65"/>
      <c r="H67" s="88"/>
      <c r="I67" s="72"/>
      <c r="J67" s="72"/>
      <c r="K67" s="72"/>
      <c r="L67" s="59"/>
      <c r="M67" s="59"/>
      <c r="N67" s="59"/>
      <c r="O67" s="59"/>
      <c r="P67" s="59"/>
      <c r="Q67" s="59"/>
      <c r="R67" s="59"/>
      <c r="X67" s="58"/>
      <c r="Z67" s="65"/>
      <c r="AA67" s="58"/>
      <c r="AB67" s="72"/>
      <c r="AC67" s="72"/>
      <c r="AD67" s="72"/>
      <c r="AF67" s="58"/>
      <c r="AH67" s="65"/>
      <c r="AI67" s="58"/>
      <c r="AJ67" s="72"/>
      <c r="AK67" s="72"/>
      <c r="AL67" s="72"/>
      <c r="AN67" s="58"/>
      <c r="AP67" s="65"/>
      <c r="AQ67" s="58"/>
      <c r="AR67" s="72"/>
      <c r="AS67" s="72"/>
      <c r="AT67" s="72"/>
      <c r="AV67" s="58"/>
      <c r="AX67" s="65"/>
      <c r="AY67" s="58"/>
      <c r="AZ67" s="72"/>
      <c r="BA67" s="72"/>
      <c r="BB67" s="72"/>
      <c r="BC67" s="28"/>
      <c r="BD67" s="28"/>
      <c r="BE67" s="28"/>
    </row>
    <row r="68" spans="1:57" ht="15" customHeight="1">
      <c r="A68" s="440"/>
      <c r="B68" s="210" t="s">
        <v>56</v>
      </c>
      <c r="C68" s="105" t="s">
        <v>52</v>
      </c>
      <c r="D68" s="177"/>
      <c r="E68" s="141">
        <f ca="1">SUM(OFFSET(E68,0,-[0]!ng):OFFSET(E68,0,-1))</f>
        <v>0</v>
      </c>
      <c r="F68" s="65"/>
      <c r="G68" s="65"/>
      <c r="H68" s="88"/>
      <c r="I68" s="72"/>
      <c r="J68" s="72"/>
      <c r="K68" s="72"/>
      <c r="L68" s="59"/>
      <c r="M68" s="59"/>
      <c r="N68" s="59"/>
      <c r="O68" s="59"/>
      <c r="P68" s="59"/>
      <c r="Q68" s="59"/>
      <c r="R68" s="59"/>
      <c r="X68" s="58"/>
      <c r="Z68" s="65"/>
      <c r="AA68" s="58"/>
      <c r="AB68" s="72"/>
      <c r="AC68" s="72"/>
      <c r="AD68" s="72"/>
      <c r="AF68" s="58"/>
      <c r="AH68" s="65"/>
      <c r="AI68" s="58"/>
      <c r="AJ68" s="72"/>
      <c r="AK68" s="72"/>
      <c r="AL68" s="72"/>
      <c r="AN68" s="58"/>
      <c r="AP68" s="65"/>
      <c r="AQ68" s="58"/>
      <c r="AR68" s="72"/>
      <c r="AS68" s="72"/>
      <c r="AT68" s="72"/>
      <c r="AV68" s="58"/>
      <c r="AX68" s="65"/>
      <c r="AY68" s="58"/>
      <c r="AZ68" s="72"/>
      <c r="BA68" s="72"/>
      <c r="BB68" s="72"/>
      <c r="BC68" s="28"/>
      <c r="BD68" s="28"/>
      <c r="BE68" s="28"/>
    </row>
    <row r="69" spans="1:57" ht="15" customHeight="1" thickBot="1">
      <c r="A69" s="441"/>
      <c r="B69" s="223" t="s">
        <v>57</v>
      </c>
      <c r="C69" s="109" t="s">
        <v>55</v>
      </c>
      <c r="D69" s="202">
        <f>D68/24</f>
        <v>0</v>
      </c>
      <c r="E69" s="203">
        <f ca="1">E68/24</f>
        <v>0</v>
      </c>
      <c r="F69" s="65"/>
      <c r="G69" s="65"/>
      <c r="H69" s="88"/>
      <c r="I69" s="72"/>
      <c r="J69" s="72"/>
      <c r="K69" s="72"/>
      <c r="L69" s="59"/>
      <c r="M69" s="59"/>
      <c r="N69" s="59"/>
      <c r="O69" s="59"/>
      <c r="P69" s="59"/>
      <c r="Q69" s="59"/>
      <c r="R69" s="59"/>
      <c r="X69" s="58"/>
      <c r="Z69" s="65"/>
      <c r="AA69" s="58"/>
      <c r="AB69" s="72"/>
      <c r="AC69" s="72"/>
      <c r="AD69" s="72"/>
      <c r="AF69" s="58"/>
      <c r="AH69" s="65"/>
      <c r="AI69" s="58"/>
      <c r="AJ69" s="72"/>
      <c r="AK69" s="72"/>
      <c r="AL69" s="72"/>
      <c r="AN69" s="58"/>
      <c r="AP69" s="65"/>
      <c r="AQ69" s="58"/>
      <c r="AR69" s="72"/>
      <c r="AS69" s="72"/>
      <c r="AT69" s="72"/>
      <c r="AV69" s="58"/>
      <c r="AX69" s="65"/>
      <c r="AY69" s="58"/>
      <c r="AZ69" s="72"/>
      <c r="BA69" s="72"/>
      <c r="BB69" s="72"/>
      <c r="BC69" s="28"/>
      <c r="BD69" s="28"/>
      <c r="BE69" s="28"/>
    </row>
    <row r="70" spans="1:57" ht="15" customHeight="1">
      <c r="A70" s="393" t="s">
        <v>58</v>
      </c>
      <c r="B70" s="110" t="s">
        <v>59</v>
      </c>
      <c r="C70" s="108" t="s">
        <v>60</v>
      </c>
      <c r="D70" s="46"/>
      <c r="E70" s="224"/>
      <c r="F70" s="59"/>
      <c r="G70" s="59"/>
      <c r="H70" s="59"/>
      <c r="I70" s="59"/>
      <c r="J70" s="59"/>
      <c r="K70" s="59"/>
      <c r="L70" s="59"/>
      <c r="M70" s="59"/>
      <c r="X70" s="58"/>
      <c r="Z70" s="59"/>
      <c r="AA70" s="58"/>
      <c r="AB70" s="59"/>
      <c r="AC70" s="59"/>
      <c r="AD70" s="59"/>
      <c r="AF70" s="58"/>
      <c r="AH70" s="59"/>
      <c r="AI70" s="58"/>
      <c r="AJ70" s="59"/>
      <c r="AK70" s="59"/>
      <c r="AL70" s="59"/>
      <c r="AN70" s="58"/>
      <c r="AP70" s="59"/>
      <c r="AQ70" s="58"/>
      <c r="AR70" s="59"/>
      <c r="AS70" s="59"/>
      <c r="AT70" s="59"/>
      <c r="AV70" s="58"/>
      <c r="AX70" s="59"/>
      <c r="AY70" s="58"/>
      <c r="AZ70" s="59"/>
      <c r="BA70" s="59"/>
      <c r="BB70" s="59"/>
      <c r="BC70" s="28"/>
      <c r="BD70" s="28"/>
      <c r="BE70" s="28"/>
    </row>
    <row r="71" spans="1:57" ht="15" customHeight="1">
      <c r="A71" s="394" t="s">
        <v>61</v>
      </c>
      <c r="B71" s="111" t="s">
        <v>62</v>
      </c>
      <c r="C71" s="105" t="s">
        <v>60</v>
      </c>
      <c r="D71" s="102"/>
      <c r="E71" s="120"/>
      <c r="F71" s="79"/>
      <c r="G71" s="7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X71" s="58"/>
      <c r="Z71" s="79"/>
      <c r="AA71" s="58"/>
      <c r="AB71" s="59"/>
      <c r="AC71" s="59"/>
      <c r="AD71" s="59"/>
      <c r="AF71" s="58"/>
      <c r="AH71" s="79"/>
      <c r="AI71" s="58"/>
      <c r="AJ71" s="59"/>
      <c r="AK71" s="59"/>
      <c r="AL71" s="59"/>
      <c r="AN71" s="58"/>
      <c r="AP71" s="79"/>
      <c r="AQ71" s="58"/>
      <c r="AR71" s="59"/>
      <c r="AS71" s="59"/>
      <c r="AT71" s="59"/>
      <c r="AV71" s="58"/>
      <c r="AX71" s="79"/>
      <c r="AY71" s="58"/>
      <c r="AZ71" s="59"/>
      <c r="BA71" s="59"/>
      <c r="BB71" s="59"/>
      <c r="BC71" s="28"/>
      <c r="BD71" s="28"/>
      <c r="BE71" s="28"/>
    </row>
    <row r="72" spans="1:57" ht="15" customHeight="1">
      <c r="A72" s="395" t="s">
        <v>63</v>
      </c>
      <c r="B72" s="193" t="s">
        <v>64</v>
      </c>
      <c r="C72" s="105" t="s">
        <v>60</v>
      </c>
      <c r="D72" s="101">
        <f>MAX(D70:D71)</f>
        <v>0</v>
      </c>
      <c r="E72" s="204"/>
      <c r="F72" s="70"/>
      <c r="G72" s="70"/>
      <c r="H72" s="70"/>
      <c r="I72" s="70"/>
      <c r="J72" s="70"/>
      <c r="K72" s="59"/>
      <c r="L72" s="59"/>
      <c r="M72" s="59"/>
      <c r="N72" s="59"/>
      <c r="O72" s="59"/>
      <c r="P72" s="59"/>
      <c r="Q72" s="59"/>
      <c r="R72" s="59"/>
      <c r="X72" s="58"/>
      <c r="Z72" s="70"/>
      <c r="AA72" s="58"/>
      <c r="AB72" s="70"/>
      <c r="AC72" s="70"/>
      <c r="AD72" s="59"/>
      <c r="AF72" s="58"/>
      <c r="AH72" s="70"/>
      <c r="AI72" s="58"/>
      <c r="AJ72" s="70"/>
      <c r="AK72" s="70"/>
      <c r="AL72" s="59"/>
      <c r="AN72" s="58"/>
      <c r="AP72" s="70"/>
      <c r="AQ72" s="58"/>
      <c r="AR72" s="70"/>
      <c r="AS72" s="70"/>
      <c r="AT72" s="59"/>
      <c r="AV72" s="58"/>
      <c r="AX72" s="70"/>
      <c r="AY72" s="58"/>
      <c r="AZ72" s="70"/>
      <c r="BA72" s="70"/>
      <c r="BB72" s="59"/>
      <c r="BC72" s="28"/>
      <c r="BD72" s="28"/>
      <c r="BE72" s="28"/>
    </row>
    <row r="73" spans="1:57" ht="15" customHeight="1">
      <c r="A73" s="114" t="s">
        <v>65</v>
      </c>
      <c r="B73" s="111"/>
      <c r="C73" s="105" t="s">
        <v>66</v>
      </c>
      <c r="D73" s="47">
        <f>D$72*D$66</f>
        <v>0</v>
      </c>
      <c r="E73" s="125">
        <f ca="1">SUM(OFFSET(E73,0,-[0]!ng):OFFSET(E73,0,-1))</f>
        <v>0</v>
      </c>
      <c r="F73" s="70"/>
      <c r="G73" s="70"/>
      <c r="H73" s="70"/>
      <c r="I73" s="70"/>
      <c r="J73" s="70"/>
      <c r="K73" s="59"/>
      <c r="L73" s="59"/>
      <c r="M73" s="59"/>
      <c r="N73" s="59"/>
      <c r="O73" s="59"/>
      <c r="P73" s="59"/>
      <c r="Q73" s="59"/>
      <c r="R73" s="59"/>
      <c r="X73" s="58"/>
      <c r="Z73" s="70"/>
      <c r="AA73" s="58"/>
      <c r="AB73" s="70"/>
      <c r="AC73" s="70"/>
      <c r="AD73" s="59"/>
      <c r="AF73" s="58"/>
      <c r="AH73" s="70"/>
      <c r="AI73" s="58"/>
      <c r="AJ73" s="70"/>
      <c r="AK73" s="70"/>
      <c r="AL73" s="59"/>
      <c r="AN73" s="58"/>
      <c r="AP73" s="70"/>
      <c r="AQ73" s="58"/>
      <c r="AR73" s="70"/>
      <c r="AS73" s="70"/>
      <c r="AT73" s="59"/>
      <c r="AV73" s="58"/>
      <c r="AX73" s="70"/>
      <c r="AY73" s="58"/>
      <c r="AZ73" s="70"/>
      <c r="BA73" s="70"/>
      <c r="BB73" s="59"/>
      <c r="BC73" s="28"/>
      <c r="BD73" s="28"/>
      <c r="BE73" s="28"/>
    </row>
    <row r="74" spans="1:57" ht="15" customHeight="1" thickBot="1">
      <c r="A74" s="198" t="s">
        <v>67</v>
      </c>
      <c r="B74" s="199"/>
      <c r="C74" s="109" t="s">
        <v>68</v>
      </c>
      <c r="D74" s="48">
        <f>D$73/10000*100</f>
        <v>0</v>
      </c>
      <c r="E74" s="126">
        <f ca="1">SUM(OFFSET(E74,0,-[0]!ng):OFFSET(E74,0,-1))</f>
        <v>0</v>
      </c>
      <c r="F74" s="71"/>
      <c r="G74" s="71"/>
      <c r="H74" s="71"/>
      <c r="I74" s="71"/>
      <c r="J74" s="71"/>
      <c r="K74" s="59"/>
      <c r="L74" s="59"/>
      <c r="M74" s="59"/>
      <c r="N74" s="59"/>
      <c r="O74" s="59"/>
      <c r="P74" s="59"/>
      <c r="Q74" s="59"/>
      <c r="R74" s="59"/>
      <c r="X74" s="58"/>
      <c r="Z74" s="71"/>
      <c r="AA74" s="58"/>
      <c r="AB74" s="71"/>
      <c r="AC74" s="71"/>
      <c r="AD74" s="59"/>
      <c r="AF74" s="58"/>
      <c r="AH74" s="71"/>
      <c r="AI74" s="58"/>
      <c r="AJ74" s="71"/>
      <c r="AK74" s="71"/>
      <c r="AL74" s="59"/>
      <c r="AN74" s="58"/>
      <c r="AP74" s="71"/>
      <c r="AQ74" s="58"/>
      <c r="AR74" s="71"/>
      <c r="AS74" s="71"/>
      <c r="AT74" s="59"/>
      <c r="AV74" s="58"/>
      <c r="AX74" s="71"/>
      <c r="AY74" s="58"/>
      <c r="AZ74" s="71"/>
      <c r="BA74" s="71"/>
      <c r="BB74" s="59"/>
      <c r="BC74" s="28"/>
      <c r="BD74" s="28"/>
      <c r="BE74" s="28"/>
    </row>
    <row r="75" spans="1:57" ht="15" customHeight="1">
      <c r="A75" s="442" t="s">
        <v>69</v>
      </c>
      <c r="B75" s="112"/>
      <c r="C75" s="112"/>
      <c r="D75" s="112"/>
      <c r="E75" s="124">
        <f ca="1">E73/(E66+E68)*8760*100/10000</f>
        <v>0</v>
      </c>
      <c r="F75" s="59"/>
      <c r="G75" s="59"/>
      <c r="H75" s="59"/>
      <c r="I75" s="59"/>
      <c r="J75" s="59"/>
      <c r="K75" s="59"/>
      <c r="L75" s="59"/>
      <c r="M75" s="59"/>
      <c r="N75" s="59"/>
      <c r="O75" s="59"/>
      <c r="X75" s="58"/>
      <c r="Z75" s="59"/>
      <c r="AA75" s="58"/>
      <c r="AB75" s="59"/>
      <c r="AC75" s="59"/>
      <c r="AD75" s="59"/>
      <c r="AF75" s="58"/>
      <c r="AH75" s="59"/>
      <c r="AI75" s="58"/>
      <c r="AJ75" s="59"/>
      <c r="AK75" s="59"/>
      <c r="AL75" s="59"/>
      <c r="AN75" s="58"/>
      <c r="AP75" s="59"/>
      <c r="AQ75" s="58"/>
      <c r="AR75" s="59"/>
      <c r="AS75" s="59"/>
      <c r="AT75" s="59"/>
      <c r="AV75" s="58"/>
      <c r="AX75" s="59"/>
      <c r="AY75" s="58"/>
      <c r="AZ75" s="59"/>
      <c r="BA75" s="59"/>
      <c r="BB75" s="59"/>
      <c r="BC75" s="28"/>
      <c r="BD75" s="28"/>
      <c r="BE75" s="28"/>
    </row>
    <row r="76" spans="1:57" ht="15" customHeight="1">
      <c r="A76" s="443" t="s">
        <v>70</v>
      </c>
      <c r="B76" s="384"/>
      <c r="C76" s="384"/>
      <c r="D76" s="384"/>
      <c r="E76" s="396">
        <f ca="1">E73/(E66)*8760*100/10000</f>
        <v>0</v>
      </c>
      <c r="F76" s="59"/>
      <c r="G76" s="59"/>
      <c r="H76" s="59"/>
      <c r="I76" s="59"/>
      <c r="J76" s="59"/>
      <c r="K76" s="59"/>
      <c r="L76" s="59"/>
      <c r="M76" s="59"/>
      <c r="N76" s="59"/>
      <c r="O76" s="59"/>
      <c r="X76" s="58"/>
      <c r="Z76" s="59"/>
      <c r="AA76" s="58"/>
      <c r="AB76" s="59"/>
      <c r="AC76" s="59"/>
      <c r="AD76" s="59"/>
      <c r="AF76" s="58"/>
      <c r="AH76" s="59"/>
      <c r="AI76" s="58"/>
      <c r="AJ76" s="59"/>
      <c r="AK76" s="59"/>
      <c r="AL76" s="59"/>
      <c r="AN76" s="58"/>
      <c r="AP76" s="59"/>
      <c r="AQ76" s="58"/>
      <c r="AR76" s="59"/>
      <c r="AS76" s="59"/>
      <c r="AT76" s="59"/>
      <c r="AV76" s="58"/>
      <c r="AX76" s="59"/>
      <c r="AY76" s="58"/>
      <c r="AZ76" s="59"/>
      <c r="BA76" s="59"/>
      <c r="BB76" s="59"/>
      <c r="BC76" s="28"/>
      <c r="BD76" s="28"/>
      <c r="BE76" s="28"/>
    </row>
    <row r="77" spans="1:57" ht="15" customHeight="1" thickBot="1">
      <c r="A77" s="449" t="s">
        <v>71</v>
      </c>
      <c r="B77" s="446"/>
      <c r="C77" s="446"/>
      <c r="D77" s="446"/>
      <c r="E77" s="447"/>
      <c r="F77" s="392"/>
      <c r="G77" s="392"/>
      <c r="H77" s="392"/>
      <c r="I77" s="59"/>
      <c r="J77" s="59"/>
      <c r="K77" s="59"/>
      <c r="L77" s="59"/>
      <c r="M77" s="59"/>
      <c r="N77" s="59"/>
      <c r="O77" s="59"/>
      <c r="P77" s="59"/>
      <c r="X77" s="58"/>
      <c r="Z77" s="59"/>
      <c r="AA77" s="58"/>
      <c r="AB77" s="59"/>
      <c r="AC77" s="59"/>
      <c r="AD77" s="59"/>
      <c r="AF77" s="58"/>
      <c r="AH77" s="59"/>
      <c r="AI77" s="58"/>
      <c r="AJ77" s="59"/>
      <c r="AK77" s="59"/>
      <c r="AL77" s="59"/>
      <c r="AN77" s="58"/>
      <c r="AP77" s="59"/>
      <c r="AQ77" s="58"/>
      <c r="AR77" s="59"/>
      <c r="AS77" s="59"/>
      <c r="AT77" s="59"/>
      <c r="AV77" s="58"/>
      <c r="AX77" s="59"/>
      <c r="AY77" s="58"/>
      <c r="AZ77" s="59"/>
      <c r="BA77" s="59"/>
      <c r="BB77" s="59"/>
      <c r="BC77" s="28"/>
      <c r="BD77" s="28"/>
      <c r="BE77" s="28"/>
    </row>
    <row r="78" spans="1:57" s="319" customFormat="1" ht="15" customHeight="1">
      <c r="B78" s="320"/>
      <c r="C78" s="325" t="s">
        <v>72</v>
      </c>
      <c r="D78" s="346">
        <f ca="1">TODAY()</f>
        <v>44545</v>
      </c>
      <c r="E78" s="139"/>
      <c r="F78" s="321"/>
      <c r="G78" s="347"/>
      <c r="H78" s="348"/>
      <c r="I78" s="345"/>
      <c r="J78" s="325" t="s">
        <v>73</v>
      </c>
      <c r="K78" s="324" t="s">
        <v>80</v>
      </c>
      <c r="L78" s="323"/>
      <c r="M78" s="323"/>
      <c r="N78" s="323"/>
      <c r="O78" s="323"/>
      <c r="P78" s="135"/>
      <c r="Q78" s="323"/>
    </row>
    <row r="79" spans="1:57" ht="15" customHeight="1" thickBot="1">
      <c r="A79" s="58"/>
      <c r="B79" s="58"/>
      <c r="C79" s="58"/>
      <c r="D79" s="58"/>
      <c r="E79" s="58"/>
      <c r="F79" s="58"/>
      <c r="G79" s="58"/>
      <c r="H79" s="58"/>
      <c r="I79" s="58"/>
      <c r="J79" s="58"/>
      <c r="O79" s="59"/>
      <c r="P79" s="59"/>
      <c r="Q79" s="59"/>
      <c r="X79" s="58"/>
      <c r="Z79" s="58"/>
      <c r="AA79" s="58"/>
      <c r="AF79" s="58"/>
      <c r="AH79" s="58"/>
      <c r="AI79" s="58"/>
      <c r="AN79" s="58"/>
      <c r="AP79" s="58"/>
      <c r="AQ79" s="58"/>
      <c r="AV79" s="58"/>
      <c r="AX79" s="58"/>
      <c r="AY79" s="58"/>
      <c r="BA79" s="58"/>
    </row>
    <row r="80" spans="1:57" ht="15" customHeight="1">
      <c r="A80" s="3"/>
      <c r="B80" s="354"/>
      <c r="C80" s="60"/>
      <c r="D80" s="60"/>
      <c r="E80" s="60"/>
      <c r="F80" s="58"/>
      <c r="G80" s="58"/>
      <c r="I80" s="58"/>
      <c r="J80" s="58"/>
      <c r="M80" s="59"/>
      <c r="N80" s="59"/>
      <c r="O80" s="59"/>
      <c r="V80" s="84"/>
      <c r="X80" s="58"/>
      <c r="Y80" s="28"/>
      <c r="Z80" s="58"/>
      <c r="AA80" s="58"/>
      <c r="AD80" s="84"/>
      <c r="AF80" s="58"/>
      <c r="AG80" s="28"/>
      <c r="AH80" s="58"/>
      <c r="AI80" s="58"/>
      <c r="AL80" s="84"/>
      <c r="AN80" s="58"/>
      <c r="AO80" s="28"/>
      <c r="AP80" s="58"/>
      <c r="AQ80" s="58"/>
      <c r="AT80" s="84"/>
      <c r="AV80" s="58"/>
      <c r="AW80" s="28"/>
      <c r="AX80" s="58"/>
      <c r="BA80" s="59"/>
      <c r="BB80" s="59"/>
      <c r="BD80" s="28"/>
      <c r="BE80" s="28"/>
    </row>
    <row r="81" spans="1:57" ht="15" hidden="1" customHeight="1" thickBot="1">
      <c r="A81" s="60"/>
      <c r="B81" s="60"/>
      <c r="C81" s="87"/>
      <c r="D81" s="87"/>
      <c r="E81" s="60"/>
      <c r="F81" s="58"/>
      <c r="G81" s="59"/>
      <c r="H81" s="59"/>
      <c r="I81" s="58"/>
      <c r="J81" s="58"/>
      <c r="M81" s="59"/>
      <c r="N81" s="59"/>
      <c r="O81" s="59"/>
      <c r="V81" s="85"/>
      <c r="X81" s="59"/>
      <c r="Y81" s="59"/>
      <c r="Z81" s="58"/>
      <c r="AA81" s="58"/>
      <c r="AD81" s="85"/>
      <c r="AF81" s="59"/>
      <c r="AG81" s="59"/>
      <c r="AH81" s="58"/>
      <c r="AI81" s="58"/>
      <c r="AL81" s="85"/>
      <c r="AN81" s="59"/>
      <c r="AO81" s="59"/>
      <c r="AP81" s="58"/>
      <c r="AQ81" s="58"/>
      <c r="AT81" s="85"/>
      <c r="AV81" s="59"/>
      <c r="AW81" s="59"/>
      <c r="AX81" s="58"/>
      <c r="AY81" s="59"/>
      <c r="BA81" s="59"/>
      <c r="BB81" s="59"/>
      <c r="BD81" s="28"/>
      <c r="BE81" s="28"/>
    </row>
    <row r="82" spans="1:57" ht="15" hidden="1" customHeight="1">
      <c r="A82" s="59"/>
      <c r="B82" s="59"/>
      <c r="C82" s="59"/>
      <c r="D82" s="59"/>
      <c r="E82" s="59"/>
      <c r="F82" s="87"/>
      <c r="G82" s="60"/>
      <c r="H82" s="59"/>
      <c r="I82" s="59"/>
      <c r="J82" s="59"/>
      <c r="O82" s="59"/>
      <c r="P82" s="59"/>
      <c r="Q82" s="59"/>
      <c r="X82" s="59"/>
      <c r="Z82" s="59"/>
      <c r="AA82" s="59"/>
      <c r="AF82" s="59"/>
      <c r="AH82" s="59"/>
      <c r="AI82" s="59"/>
      <c r="AN82" s="59"/>
      <c r="AP82" s="59"/>
      <c r="AQ82" s="59"/>
      <c r="AV82" s="59"/>
      <c r="AX82" s="59"/>
      <c r="AY82" s="59"/>
      <c r="BA82" s="59"/>
    </row>
    <row r="83" spans="1:57" ht="15" hidden="1" customHeight="1">
      <c r="A83" s="58"/>
      <c r="B83" s="58"/>
      <c r="C83" s="58"/>
      <c r="D83" s="58"/>
      <c r="E83" s="59"/>
      <c r="F83" s="59"/>
      <c r="G83" s="59"/>
      <c r="H83" s="59"/>
      <c r="I83" s="59"/>
      <c r="J83" s="59"/>
      <c r="O83" s="59"/>
      <c r="P83" s="59"/>
      <c r="Q83" s="59"/>
      <c r="X83" s="59"/>
      <c r="Z83" s="59"/>
      <c r="AA83" s="59"/>
      <c r="AF83" s="59"/>
      <c r="AH83" s="59"/>
      <c r="AI83" s="59"/>
      <c r="AN83" s="59"/>
      <c r="AP83" s="59"/>
      <c r="AQ83" s="59"/>
      <c r="AV83" s="59"/>
      <c r="AX83" s="59"/>
      <c r="AY83" s="59"/>
      <c r="BA83" s="59"/>
    </row>
    <row r="84" spans="1:57" ht="240" customHeight="1">
      <c r="A84" s="58"/>
      <c r="B84" s="58"/>
      <c r="C84" s="58"/>
      <c r="D84" s="59"/>
      <c r="E84" s="59"/>
      <c r="F84" s="59"/>
      <c r="G84" s="59"/>
      <c r="H84" s="59"/>
      <c r="I84" s="59"/>
      <c r="J84" s="59"/>
      <c r="O84" s="59"/>
      <c r="P84" s="59"/>
      <c r="Q84" s="59"/>
      <c r="X84" s="59"/>
      <c r="Z84" s="59"/>
      <c r="AA84" s="59"/>
      <c r="AF84" s="59"/>
      <c r="AH84" s="59"/>
      <c r="AI84" s="59"/>
      <c r="AN84" s="59"/>
      <c r="AP84" s="59"/>
      <c r="AQ84" s="59"/>
      <c r="AV84" s="59"/>
      <c r="AX84" s="59"/>
      <c r="AY84" s="59"/>
      <c r="BA84" s="59"/>
      <c r="BC84" s="308"/>
      <c r="BD84" s="308"/>
      <c r="BE84" s="308"/>
    </row>
    <row r="85" spans="1:57" ht="66.75" customHeight="1">
      <c r="A85" s="58"/>
      <c r="B85" s="58"/>
      <c r="C85" s="58"/>
      <c r="D85" s="58"/>
      <c r="E85" s="59"/>
      <c r="F85" s="59"/>
      <c r="G85" s="59"/>
      <c r="H85" s="59"/>
      <c r="I85" s="59"/>
      <c r="J85" s="59"/>
      <c r="O85" s="59"/>
      <c r="P85" s="59"/>
      <c r="Q85" s="59"/>
      <c r="X85" s="59"/>
      <c r="Z85" s="59"/>
      <c r="AA85" s="59"/>
      <c r="AF85" s="59"/>
      <c r="AH85" s="59"/>
      <c r="AI85" s="59"/>
      <c r="AN85" s="59"/>
      <c r="AP85" s="59"/>
      <c r="AQ85" s="59"/>
      <c r="AV85" s="59"/>
      <c r="AX85" s="59"/>
      <c r="AY85" s="59"/>
      <c r="BA85" s="59"/>
      <c r="BC85" s="308"/>
      <c r="BD85" s="358" t="s">
        <v>75</v>
      </c>
      <c r="BE85" s="308"/>
    </row>
    <row r="86" spans="1:57" ht="237" customHeight="1">
      <c r="A86" s="58"/>
      <c r="B86" s="58"/>
      <c r="C86" s="58"/>
      <c r="D86" s="58"/>
      <c r="E86" s="59"/>
      <c r="F86" s="59"/>
      <c r="G86" s="59"/>
      <c r="H86" s="59"/>
      <c r="I86" s="59"/>
      <c r="J86" s="59"/>
      <c r="O86" s="59"/>
      <c r="P86" s="59"/>
      <c r="Q86" s="59"/>
      <c r="X86" s="59"/>
      <c r="Z86" s="59"/>
      <c r="AA86" s="59"/>
      <c r="AF86" s="59"/>
      <c r="AH86" s="59"/>
      <c r="AI86" s="59"/>
      <c r="AN86" s="59"/>
      <c r="AP86" s="59"/>
      <c r="AQ86" s="59"/>
      <c r="AV86" s="59"/>
      <c r="AX86" s="59"/>
      <c r="AY86" s="59"/>
      <c r="BA86" s="59"/>
      <c r="BC86" s="308"/>
      <c r="BD86" s="308"/>
      <c r="BE86" s="308"/>
    </row>
    <row r="87" spans="1:57" ht="15" customHeight="1">
      <c r="A87" s="58"/>
      <c r="B87" s="58"/>
      <c r="C87" s="58"/>
      <c r="D87" s="58"/>
      <c r="E87" s="59"/>
      <c r="F87" s="59"/>
      <c r="G87" s="59"/>
      <c r="H87" s="59"/>
      <c r="I87" s="58"/>
      <c r="J87" s="58"/>
      <c r="X87" s="58"/>
      <c r="Z87" s="58"/>
      <c r="AA87" s="58"/>
      <c r="AF87" s="58"/>
      <c r="AH87" s="58"/>
      <c r="AI87" s="58"/>
      <c r="AN87" s="58"/>
      <c r="AP87" s="58"/>
      <c r="AQ87" s="58"/>
      <c r="AV87" s="58"/>
      <c r="AX87" s="58"/>
      <c r="AY87" s="58"/>
      <c r="BA87" s="58"/>
    </row>
    <row r="88" spans="1:57" ht="15" customHeight="1">
      <c r="A88" s="58"/>
      <c r="B88" s="58"/>
      <c r="C88" s="58"/>
      <c r="D88" s="58"/>
      <c r="E88" s="59"/>
      <c r="F88" s="59"/>
      <c r="G88" s="58"/>
      <c r="H88" s="58"/>
      <c r="I88" s="58"/>
      <c r="J88" s="58"/>
      <c r="X88" s="58"/>
      <c r="Z88" s="58"/>
      <c r="AA88" s="58"/>
      <c r="AF88" s="58"/>
      <c r="AH88" s="58"/>
      <c r="AI88" s="58"/>
      <c r="AN88" s="58"/>
      <c r="AP88" s="58"/>
      <c r="AQ88" s="58"/>
      <c r="AV88" s="58"/>
      <c r="AX88" s="58"/>
      <c r="AY88" s="58"/>
      <c r="BA88" s="58"/>
    </row>
    <row r="89" spans="1:57" ht="15" customHeight="1">
      <c r="A89" s="58"/>
      <c r="B89" s="58"/>
      <c r="C89" s="58"/>
      <c r="D89" s="59"/>
      <c r="E89" s="59"/>
      <c r="F89" s="59"/>
      <c r="G89" s="58"/>
      <c r="H89" s="58"/>
      <c r="I89" s="58"/>
      <c r="J89" s="58"/>
      <c r="X89" s="58"/>
      <c r="Z89" s="58"/>
      <c r="AA89" s="58"/>
      <c r="AF89" s="58"/>
      <c r="AH89" s="58"/>
      <c r="AI89" s="58"/>
      <c r="AN89" s="58"/>
      <c r="AP89" s="58"/>
      <c r="AQ89" s="58"/>
      <c r="AV89" s="58"/>
      <c r="AX89" s="58"/>
      <c r="AY89" s="58"/>
      <c r="BA89" s="58"/>
    </row>
    <row r="90" spans="1:57" ht="15" customHeight="1">
      <c r="A90" s="58"/>
      <c r="B90" s="58"/>
      <c r="C90" s="58"/>
      <c r="D90" s="59"/>
      <c r="E90" s="59"/>
      <c r="F90" s="59"/>
      <c r="G90" s="58"/>
      <c r="H90" s="58"/>
      <c r="I90" s="58"/>
      <c r="J90" s="58"/>
      <c r="X90" s="58"/>
      <c r="Z90" s="58"/>
      <c r="AA90" s="58"/>
      <c r="AF90" s="58"/>
      <c r="AH90" s="58"/>
      <c r="AI90" s="58"/>
      <c r="AN90" s="58"/>
      <c r="AP90" s="58"/>
      <c r="AQ90" s="58"/>
      <c r="AV90" s="58"/>
      <c r="AX90" s="58"/>
      <c r="AY90" s="58"/>
      <c r="BA90" s="58"/>
    </row>
    <row r="91" spans="1:57" ht="15" customHeight="1">
      <c r="A91" s="58"/>
      <c r="B91" s="58"/>
      <c r="C91" s="58"/>
      <c r="D91" s="59"/>
      <c r="E91" s="59"/>
      <c r="F91" s="59"/>
      <c r="G91" s="58"/>
      <c r="H91" s="58"/>
      <c r="I91" s="58"/>
      <c r="J91" s="58"/>
      <c r="X91" s="58"/>
      <c r="Z91" s="58"/>
      <c r="AA91" s="58"/>
      <c r="AF91" s="58"/>
      <c r="AH91" s="58"/>
      <c r="AI91" s="58"/>
      <c r="AN91" s="58"/>
      <c r="AP91" s="58"/>
      <c r="AQ91" s="58"/>
      <c r="AV91" s="58"/>
      <c r="AX91" s="58"/>
      <c r="AY91" s="58"/>
      <c r="BA91" s="58"/>
    </row>
    <row r="92" spans="1:57" ht="15" customHeight="1">
      <c r="A92" s="58"/>
      <c r="B92" s="58"/>
      <c r="C92" s="58"/>
      <c r="D92" s="59"/>
      <c r="E92" s="59"/>
      <c r="F92" s="59"/>
      <c r="G92" s="58"/>
      <c r="H92" s="58"/>
      <c r="I92" s="58"/>
      <c r="J92" s="58"/>
      <c r="X92" s="58"/>
      <c r="Z92" s="58"/>
      <c r="AA92" s="58"/>
      <c r="AF92" s="58"/>
      <c r="AH92" s="58"/>
      <c r="AI92" s="58"/>
      <c r="AN92" s="58"/>
      <c r="AP92" s="58"/>
      <c r="AQ92" s="58"/>
      <c r="AV92" s="58"/>
      <c r="AX92" s="58"/>
      <c r="AY92" s="58"/>
      <c r="BA92" s="58"/>
    </row>
    <row r="93" spans="1:57" ht="15" customHeight="1">
      <c r="A93" s="59"/>
      <c r="B93" s="59"/>
      <c r="C93" s="59"/>
      <c r="D93" s="59"/>
      <c r="E93" s="58"/>
      <c r="F93" s="59"/>
      <c r="G93" s="58"/>
      <c r="H93" s="58"/>
      <c r="I93" s="58"/>
      <c r="J93" s="58"/>
      <c r="X93" s="58"/>
      <c r="Z93" s="58"/>
      <c r="AA93" s="58"/>
      <c r="AF93" s="58"/>
      <c r="AH93" s="58"/>
      <c r="AI93" s="58"/>
      <c r="AN93" s="58"/>
      <c r="AP93" s="58"/>
      <c r="AQ93" s="58"/>
      <c r="AV93" s="58"/>
      <c r="AX93" s="58"/>
      <c r="AY93" s="58"/>
      <c r="BA93" s="58"/>
    </row>
    <row r="94" spans="1:57" ht="15" customHeight="1">
      <c r="A94" s="59"/>
      <c r="B94" s="59"/>
      <c r="C94" s="59"/>
      <c r="D94" s="59"/>
      <c r="E94" s="58"/>
      <c r="F94" s="58"/>
      <c r="G94" s="58"/>
      <c r="H94" s="58"/>
      <c r="I94" s="58"/>
      <c r="J94" s="58"/>
      <c r="X94" s="58"/>
      <c r="Z94" s="58"/>
      <c r="AA94" s="58"/>
      <c r="AF94" s="58"/>
      <c r="AH94" s="58"/>
      <c r="AI94" s="58"/>
      <c r="AN94" s="58"/>
      <c r="AP94" s="58"/>
      <c r="AQ94" s="58"/>
      <c r="AV94" s="58"/>
      <c r="AX94" s="58"/>
      <c r="AY94" s="58"/>
      <c r="BA94" s="58"/>
    </row>
    <row r="95" spans="1:57" ht="15" customHeight="1">
      <c r="A95" s="59"/>
      <c r="B95" s="59"/>
      <c r="C95" s="59"/>
      <c r="D95" s="59"/>
      <c r="E95" s="58"/>
      <c r="F95" s="58"/>
      <c r="G95" s="58"/>
      <c r="H95" s="58"/>
      <c r="I95" s="58"/>
      <c r="J95" s="58"/>
      <c r="X95" s="58"/>
      <c r="Z95" s="58"/>
      <c r="AA95" s="58"/>
      <c r="AF95" s="58"/>
      <c r="AH95" s="58"/>
      <c r="AI95" s="58"/>
      <c r="AN95" s="58"/>
      <c r="AP95" s="58"/>
      <c r="AQ95" s="58"/>
      <c r="AV95" s="58"/>
      <c r="AX95" s="58"/>
      <c r="AY95" s="58"/>
      <c r="BA95" s="58"/>
    </row>
    <row r="96" spans="1:57" ht="15" customHeight="1">
      <c r="A96" s="59"/>
      <c r="B96" s="59"/>
      <c r="C96" s="59"/>
      <c r="D96" s="59"/>
      <c r="E96" s="58"/>
      <c r="F96" s="58"/>
      <c r="G96" s="58"/>
      <c r="H96" s="58"/>
      <c r="I96" s="58"/>
      <c r="J96" s="58"/>
      <c r="X96" s="58"/>
      <c r="Z96" s="58"/>
      <c r="AA96" s="58"/>
      <c r="AF96" s="58"/>
      <c r="AH96" s="58"/>
      <c r="AI96" s="58"/>
      <c r="AN96" s="58"/>
      <c r="AP96" s="58"/>
      <c r="AQ96" s="58"/>
      <c r="AV96" s="58"/>
      <c r="AX96" s="58"/>
      <c r="AY96" s="58"/>
      <c r="BA96" s="58"/>
    </row>
    <row r="97" spans="1:57" ht="15" customHeight="1">
      <c r="A97" s="59"/>
      <c r="B97" s="59"/>
      <c r="C97" s="59"/>
      <c r="D97" s="59"/>
      <c r="E97" s="58"/>
      <c r="F97" s="58"/>
      <c r="G97" s="58"/>
      <c r="H97" s="58"/>
      <c r="I97" s="58"/>
      <c r="J97" s="58"/>
      <c r="X97" s="58"/>
      <c r="Z97" s="58"/>
      <c r="AA97" s="58"/>
      <c r="AF97" s="58"/>
      <c r="AH97" s="58"/>
      <c r="AI97" s="58"/>
      <c r="AN97" s="58"/>
      <c r="AP97" s="58"/>
      <c r="AQ97" s="58"/>
      <c r="AV97" s="58"/>
      <c r="AX97" s="58"/>
      <c r="AY97" s="58"/>
      <c r="BA97" s="58"/>
    </row>
    <row r="98" spans="1:57" ht="15" customHeight="1">
      <c r="A98" s="59"/>
      <c r="B98" s="59"/>
      <c r="C98" s="59"/>
      <c r="D98" s="59"/>
      <c r="E98" s="58"/>
      <c r="F98" s="58"/>
      <c r="G98" s="58"/>
      <c r="H98" s="58"/>
      <c r="I98" s="58"/>
      <c r="J98" s="58"/>
      <c r="X98" s="58"/>
      <c r="Z98" s="58"/>
      <c r="AA98" s="58"/>
      <c r="AF98" s="58"/>
      <c r="AH98" s="58"/>
      <c r="AI98" s="58"/>
      <c r="AN98" s="58"/>
      <c r="AP98" s="58"/>
      <c r="AQ98" s="58"/>
      <c r="AV98" s="58"/>
      <c r="AX98" s="58"/>
      <c r="AY98" s="58"/>
      <c r="BA98" s="58"/>
    </row>
    <row r="99" spans="1:57" ht="15" customHeight="1">
      <c r="A99" s="59"/>
      <c r="B99" s="59"/>
      <c r="C99" s="59"/>
      <c r="D99" s="59"/>
      <c r="E99" s="58"/>
      <c r="F99" s="58"/>
      <c r="G99" s="58"/>
      <c r="H99" s="58"/>
      <c r="I99" s="58"/>
      <c r="J99" s="58"/>
      <c r="X99" s="58"/>
      <c r="Z99" s="58"/>
      <c r="AA99" s="58"/>
      <c r="AF99" s="58"/>
      <c r="AH99" s="58"/>
      <c r="AI99" s="58"/>
      <c r="AN99" s="58"/>
      <c r="AP99" s="58"/>
      <c r="AQ99" s="58"/>
      <c r="AV99" s="58"/>
      <c r="AX99" s="58"/>
      <c r="AY99" s="58"/>
      <c r="BA99" s="58"/>
    </row>
    <row r="100" spans="1:57" s="58" customFormat="1" ht="15" customHeight="1">
      <c r="A100" s="59"/>
      <c r="B100" s="59"/>
      <c r="C100" s="59"/>
      <c r="D100" s="59"/>
      <c r="BC100" s="59"/>
      <c r="BD100" s="59"/>
      <c r="BE100" s="59"/>
    </row>
    <row r="101" spans="1:57" s="58" customFormat="1" ht="15" customHeight="1">
      <c r="A101" s="59"/>
      <c r="B101" s="59"/>
      <c r="C101" s="59"/>
      <c r="D101" s="59"/>
      <c r="BC101" s="59"/>
      <c r="BD101" s="59"/>
      <c r="BE101" s="59"/>
    </row>
    <row r="102" spans="1:57" s="58" customFormat="1" ht="15" customHeight="1">
      <c r="A102" s="59"/>
      <c r="B102" s="59"/>
      <c r="C102" s="59"/>
      <c r="D102" s="59"/>
      <c r="BC102" s="59"/>
      <c r="BD102" s="59"/>
      <c r="BE102" s="59"/>
    </row>
    <row r="103" spans="1:57">
      <c r="A103" s="29"/>
      <c r="B103" s="29"/>
      <c r="C103" s="29"/>
      <c r="D103" s="29"/>
      <c r="F103" s="58"/>
      <c r="G103" s="58"/>
      <c r="H103" s="58"/>
    </row>
    <row r="104" spans="1:57">
      <c r="A104" s="29"/>
      <c r="B104" s="29"/>
      <c r="C104" s="29"/>
      <c r="D104" s="29"/>
    </row>
    <row r="105" spans="1:57">
      <c r="A105" s="29"/>
      <c r="B105" s="29"/>
      <c r="C105" s="29"/>
      <c r="D105" s="29"/>
    </row>
    <row r="106" spans="1:57">
      <c r="A106" s="29"/>
      <c r="B106" s="29"/>
      <c r="C106" s="29"/>
      <c r="D106" s="29"/>
    </row>
    <row r="107" spans="1:57">
      <c r="A107" s="29"/>
      <c r="B107" s="29"/>
      <c r="C107" s="29"/>
      <c r="D107" s="29"/>
    </row>
    <row r="108" spans="1:57">
      <c r="A108" s="29"/>
      <c r="B108" s="29"/>
      <c r="C108" s="29"/>
      <c r="D108" s="29"/>
    </row>
    <row r="109" spans="1:57">
      <c r="A109" s="29"/>
      <c r="B109" s="29"/>
      <c r="C109" s="29"/>
      <c r="D109" s="29"/>
    </row>
    <row r="110" spans="1:57">
      <c r="A110" s="29"/>
      <c r="B110" s="29"/>
      <c r="C110" s="29"/>
      <c r="D110" s="29"/>
    </row>
    <row r="111" spans="1:57">
      <c r="A111" s="29"/>
      <c r="B111" s="29"/>
      <c r="C111" s="29"/>
      <c r="D111" s="29"/>
    </row>
    <row r="112" spans="1:57">
      <c r="A112" s="29"/>
      <c r="B112" s="29"/>
      <c r="C112" s="29"/>
      <c r="D112" s="29"/>
    </row>
    <row r="113" spans="1:4">
      <c r="A113" s="29"/>
      <c r="B113" s="29"/>
      <c r="C113" s="29"/>
      <c r="D113" s="29"/>
    </row>
    <row r="114" spans="1:4">
      <c r="A114" s="29"/>
      <c r="B114" s="29"/>
      <c r="C114" s="29"/>
      <c r="D114" s="29"/>
    </row>
    <row r="115" spans="1:4">
      <c r="A115" s="29"/>
      <c r="B115" s="29"/>
      <c r="C115" s="29"/>
      <c r="D115" s="29"/>
    </row>
    <row r="116" spans="1:4">
      <c r="A116" s="29"/>
      <c r="B116" s="29"/>
      <c r="C116" s="29"/>
      <c r="D116" s="29"/>
    </row>
    <row r="117" spans="1:4">
      <c r="A117" s="29"/>
      <c r="B117" s="29"/>
      <c r="C117" s="29"/>
      <c r="D117" s="29"/>
    </row>
    <row r="118" spans="1:4">
      <c r="A118" s="29"/>
      <c r="B118" s="29"/>
      <c r="C118" s="29"/>
      <c r="D118" s="29"/>
    </row>
    <row r="119" spans="1:4">
      <c r="A119" s="29"/>
      <c r="B119" s="29"/>
      <c r="C119" s="29"/>
      <c r="D119" s="29"/>
    </row>
    <row r="120" spans="1:4">
      <c r="A120" s="29"/>
      <c r="B120" s="29"/>
      <c r="C120" s="29"/>
      <c r="D120" s="29"/>
    </row>
    <row r="121" spans="1:4">
      <c r="A121" s="29"/>
      <c r="B121" s="29"/>
      <c r="C121" s="29"/>
      <c r="D121" s="29"/>
    </row>
    <row r="122" spans="1:4">
      <c r="A122" s="29"/>
      <c r="B122" s="29"/>
      <c r="C122" s="29"/>
      <c r="D122" s="29"/>
    </row>
    <row r="123" spans="1:4">
      <c r="A123" s="29"/>
      <c r="B123" s="29"/>
      <c r="C123" s="29"/>
      <c r="D123" s="29"/>
    </row>
    <row r="124" spans="1:4">
      <c r="A124" s="29"/>
      <c r="B124" s="29"/>
      <c r="C124" s="29"/>
      <c r="D124" s="29"/>
    </row>
    <row r="125" spans="1:4">
      <c r="A125" s="29"/>
      <c r="B125" s="29"/>
      <c r="C125" s="29"/>
      <c r="D125" s="29"/>
    </row>
    <row r="126" spans="1:4">
      <c r="A126" s="29"/>
      <c r="B126" s="29"/>
      <c r="C126" s="29"/>
    </row>
  </sheetData>
  <sheetProtection sheet="1" objects="1" scenarios="1"/>
  <printOptions horizontalCentered="1" verticalCentered="1"/>
  <pageMargins left="0.5" right="0.5" top="0.5" bottom="0.5" header="0.5" footer="0.5"/>
  <pageSetup scale="22" orientation="landscape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F126"/>
  <sheetViews>
    <sheetView topLeftCell="E16" zoomScale="400" workbookViewId="0">
      <selection activeCell="Q3" sqref="Q3:R3"/>
    </sheetView>
  </sheetViews>
  <sheetFormatPr baseColWidth="10" defaultColWidth="11.5" defaultRowHeight="14"/>
  <cols>
    <col min="1" max="1" width="13.1640625" style="28" customWidth="1"/>
    <col min="2" max="2" width="13" style="28" customWidth="1"/>
    <col min="3" max="3" width="10" style="28" customWidth="1"/>
    <col min="4" max="10" width="6.6640625" style="28" customWidth="1"/>
    <col min="11" max="18" width="6.6640625" style="58" customWidth="1"/>
    <col min="19" max="19" width="6.83203125" style="58" customWidth="1"/>
    <col min="20" max="20" width="6.6640625" style="58" customWidth="1"/>
    <col min="21" max="23" width="6.83203125" style="58" customWidth="1"/>
    <col min="24" max="24" width="6.6640625" style="28" customWidth="1"/>
    <col min="25" max="25" width="6.83203125" style="58" customWidth="1"/>
    <col min="26" max="27" width="6.6640625" style="28" customWidth="1"/>
    <col min="28" max="28" width="6.6640625" style="58" customWidth="1"/>
    <col min="29" max="31" width="6.83203125" style="58" customWidth="1"/>
    <col min="32" max="32" width="6.6640625" style="28" customWidth="1"/>
    <col min="33" max="33" width="6.83203125" style="58" customWidth="1"/>
    <col min="34" max="35" width="6.6640625" style="28" customWidth="1"/>
    <col min="36" max="36" width="6.6640625" style="58" customWidth="1"/>
    <col min="37" max="39" width="6.83203125" style="58" customWidth="1"/>
    <col min="40" max="40" width="6.6640625" style="28" customWidth="1"/>
    <col min="41" max="41" width="6.83203125" style="58" customWidth="1"/>
    <col min="42" max="43" width="6.6640625" style="28" customWidth="1"/>
    <col min="44" max="44" width="6.6640625" style="58" customWidth="1"/>
    <col min="45" max="47" width="6.83203125" style="58" customWidth="1"/>
    <col min="48" max="48" width="6.6640625" style="28" customWidth="1"/>
    <col min="49" max="49" width="6.83203125" style="58" customWidth="1"/>
    <col min="50" max="51" width="6.6640625" style="28" customWidth="1"/>
    <col min="52" max="52" width="6.6640625" style="58" customWidth="1"/>
    <col min="53" max="53" width="6.6640625" style="28" customWidth="1"/>
    <col min="54" max="54" width="6.6640625" style="58" customWidth="1"/>
    <col min="55" max="55" width="83.6640625" style="59" customWidth="1"/>
    <col min="56" max="56" width="24.33203125" style="59" customWidth="1"/>
    <col min="57" max="57" width="83.6640625" style="59" customWidth="1"/>
    <col min="58" max="58" width="6.6640625" style="59" customWidth="1"/>
    <col min="59" max="16384" width="11.5" style="28"/>
  </cols>
  <sheetData>
    <row r="1" spans="1:58" s="58" customFormat="1" ht="162" customHeight="1" thickBot="1">
      <c r="A1" s="121">
        <v>1</v>
      </c>
      <c r="B1" s="122">
        <v>2</v>
      </c>
      <c r="C1" s="66"/>
      <c r="D1" s="66"/>
      <c r="E1" s="66"/>
      <c r="F1" s="66"/>
      <c r="G1" s="67"/>
      <c r="H1" s="59">
        <v>4</v>
      </c>
      <c r="I1" s="59" t="str">
        <f>INDEX(material,H1)</f>
        <v>He</v>
      </c>
      <c r="J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</row>
    <row r="2" spans="1:58" s="58" customFormat="1" ht="25" customHeight="1">
      <c r="A2" s="118" t="s">
        <v>0</v>
      </c>
      <c r="B2" s="142" t="str">
        <f>INDEX(data1!A2:A3,B1)</f>
        <v>C</v>
      </c>
      <c r="C2" s="137"/>
      <c r="D2" s="22"/>
      <c r="E2" s="119"/>
      <c r="F2" s="119"/>
      <c r="G2" s="99" t="s">
        <v>1</v>
      </c>
      <c r="H2" s="98"/>
      <c r="I2" s="98"/>
      <c r="J2" s="98"/>
      <c r="K2" s="98"/>
      <c r="L2" s="98"/>
      <c r="M2" s="98"/>
      <c r="N2" s="98"/>
      <c r="O2" s="136"/>
      <c r="P2" s="307"/>
      <c r="Q2" s="100"/>
      <c r="R2" s="136"/>
      <c r="S2" s="329" t="s">
        <v>2</v>
      </c>
      <c r="T2" s="344" t="str">
        <f>1&amp;" of "&amp;INT((ng+17)/17)</f>
        <v>1 of 1</v>
      </c>
      <c r="U2" s="22"/>
      <c r="V2" s="119"/>
      <c r="W2" s="119"/>
      <c r="X2" s="99" t="s">
        <v>1</v>
      </c>
      <c r="Y2" s="98"/>
      <c r="Z2" s="98"/>
      <c r="AA2" s="98"/>
      <c r="AB2" s="98"/>
      <c r="AC2" s="98"/>
      <c r="AD2" s="98"/>
      <c r="AE2" s="98"/>
      <c r="AF2" s="136"/>
      <c r="AG2" s="307"/>
      <c r="AH2" s="100"/>
      <c r="AI2" s="136"/>
      <c r="AJ2" s="329" t="s">
        <v>2</v>
      </c>
      <c r="AK2" s="344" t="str">
        <f>2&amp;" of "&amp;INT((ng+17)/17)</f>
        <v>2 of 1</v>
      </c>
      <c r="AL2" s="22"/>
      <c r="AM2" s="119"/>
      <c r="AN2" s="119"/>
      <c r="AO2" s="99" t="s">
        <v>1</v>
      </c>
      <c r="AP2" s="98"/>
      <c r="AQ2" s="98"/>
      <c r="AR2" s="98"/>
      <c r="AS2" s="98"/>
      <c r="AT2" s="98"/>
      <c r="AU2" s="98"/>
      <c r="AV2" s="98"/>
      <c r="AW2" s="136"/>
      <c r="AX2" s="307"/>
      <c r="AY2" s="100"/>
      <c r="AZ2" s="136"/>
      <c r="BA2" s="329" t="s">
        <v>2</v>
      </c>
      <c r="BB2" s="342" t="str">
        <f>3&amp;" of "&amp;INT((ng+17)/17)</f>
        <v>3 of 1</v>
      </c>
      <c r="BC2" s="60"/>
      <c r="BD2" s="60"/>
      <c r="BE2" s="60"/>
      <c r="BF2" s="60"/>
    </row>
    <row r="3" spans="1:58" s="58" customFormat="1" ht="25" customHeight="1">
      <c r="A3" s="132" t="s">
        <v>3</v>
      </c>
      <c r="B3" s="327" t="s">
        <v>76</v>
      </c>
      <c r="C3" s="140" t="s">
        <v>4</v>
      </c>
      <c r="D3" s="331"/>
      <c r="E3"/>
      <c r="F3" s="77"/>
      <c r="G3" s="140" t="s">
        <v>5</v>
      </c>
      <c r="H3" s="334" t="s">
        <v>77</v>
      </c>
      <c r="I3" s="334"/>
      <c r="J3" s="338"/>
      <c r="K3" s="338"/>
      <c r="L3" s="77"/>
      <c r="M3" s="60"/>
      <c r="N3" s="140" t="s">
        <v>6</v>
      </c>
      <c r="O3" s="331" t="s">
        <v>78</v>
      </c>
      <c r="P3" s="331"/>
      <c r="Q3" s="451"/>
      <c r="R3" s="451"/>
      <c r="S3" s="333"/>
      <c r="T3" s="340"/>
      <c r="U3" s="333">
        <f>D3</f>
        <v>0</v>
      </c>
      <c r="V3"/>
      <c r="W3" s="77"/>
      <c r="X3" s="140" t="s">
        <v>5</v>
      </c>
      <c r="Y3" s="336" t="str">
        <f>H3</f>
        <v>1997-98</v>
      </c>
      <c r="Z3" s="336"/>
      <c r="AA3" s="338"/>
      <c r="AB3" s="338"/>
      <c r="AC3" s="77"/>
      <c r="AD3" s="60"/>
      <c r="AE3" s="140" t="s">
        <v>6</v>
      </c>
      <c r="AF3" s="333" t="str">
        <f>O3</f>
        <v>A.N.Experimenter</v>
      </c>
      <c r="AG3" s="333"/>
      <c r="AH3" s="338"/>
      <c r="AI3" s="338"/>
      <c r="AJ3" s="333"/>
      <c r="AK3" s="340"/>
      <c r="AL3" s="333">
        <f>D3</f>
        <v>0</v>
      </c>
      <c r="AM3"/>
      <c r="AN3" s="77"/>
      <c r="AO3" s="140" t="s">
        <v>5</v>
      </c>
      <c r="AP3" s="336" t="str">
        <f>H3</f>
        <v>1997-98</v>
      </c>
      <c r="AQ3" s="336"/>
      <c r="AR3" s="338"/>
      <c r="AS3" s="338"/>
      <c r="AT3" s="77"/>
      <c r="AU3" s="60"/>
      <c r="AV3" s="140" t="s">
        <v>6</v>
      </c>
      <c r="AW3" s="333" t="str">
        <f>O3</f>
        <v>A.N.Experimenter</v>
      </c>
      <c r="AX3" s="333"/>
      <c r="AY3" s="338"/>
      <c r="AZ3" s="338"/>
      <c r="BA3" s="333"/>
      <c r="BB3" s="340"/>
      <c r="BC3" s="60"/>
      <c r="BD3" s="60"/>
      <c r="BE3" s="60"/>
      <c r="BF3" s="60"/>
    </row>
    <row r="4" spans="1:58" s="58" customFormat="1" ht="14" customHeight="1" thickBot="1">
      <c r="A4" s="115"/>
      <c r="B4" s="116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3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3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3"/>
      <c r="BC4" s="60"/>
      <c r="BD4" s="60"/>
      <c r="BE4" s="60"/>
      <c r="BF4" s="60"/>
    </row>
    <row r="5" spans="1:58" ht="15" customHeight="1">
      <c r="A5" s="144" t="s">
        <v>7</v>
      </c>
      <c r="B5" s="145"/>
      <c r="C5" s="143"/>
      <c r="D5" s="30">
        <f>C5+1</f>
        <v>1</v>
      </c>
      <c r="E5" s="123">
        <v>1</v>
      </c>
      <c r="F5" s="90">
        <v>1</v>
      </c>
      <c r="G5" s="90"/>
      <c r="H5" s="90"/>
      <c r="I5" s="90"/>
      <c r="J5" s="90"/>
      <c r="K5" s="90"/>
      <c r="L5" s="89">
        <v>1</v>
      </c>
      <c r="M5" s="90"/>
      <c r="N5" s="90"/>
      <c r="O5" s="90"/>
      <c r="P5" s="90"/>
      <c r="Q5" s="90"/>
      <c r="R5" s="90"/>
      <c r="S5" s="91"/>
      <c r="T5" s="92">
        <v>2</v>
      </c>
      <c r="U5" s="91"/>
      <c r="V5" s="92">
        <v>2</v>
      </c>
      <c r="W5" s="91"/>
      <c r="X5" s="91"/>
      <c r="Y5" s="91"/>
      <c r="Z5" s="90"/>
      <c r="AA5" s="91"/>
      <c r="AB5" s="90"/>
      <c r="AC5" s="90"/>
      <c r="AD5" s="90"/>
      <c r="AE5" s="91"/>
      <c r="AF5" s="91"/>
      <c r="AG5" s="91"/>
      <c r="AH5" s="90"/>
      <c r="AI5" s="91"/>
      <c r="AJ5" s="90"/>
      <c r="AK5" s="90"/>
      <c r="AL5" s="90"/>
      <c r="AM5" s="91"/>
      <c r="AN5" s="91"/>
      <c r="AO5" s="91"/>
      <c r="AP5" s="90"/>
      <c r="AQ5" s="91"/>
      <c r="AR5" s="90"/>
      <c r="AS5" s="90"/>
      <c r="AT5" s="90"/>
      <c r="AU5" s="91"/>
      <c r="AV5" s="91"/>
      <c r="AW5" s="91"/>
      <c r="AX5" s="90"/>
      <c r="AY5" s="91"/>
      <c r="AZ5" s="90"/>
      <c r="BA5" s="90"/>
      <c r="BB5" s="90"/>
      <c r="BC5" s="28"/>
      <c r="BD5" s="28"/>
      <c r="BE5" s="28"/>
      <c r="BF5" s="28"/>
    </row>
    <row r="6" spans="1:58" ht="15" customHeight="1">
      <c r="A6" s="445" t="s">
        <v>8</v>
      </c>
      <c r="B6" s="96" t="s">
        <v>9</v>
      </c>
      <c r="C6" s="105" t="s">
        <v>10</v>
      </c>
      <c r="D6" s="127">
        <v>1.4</v>
      </c>
      <c r="E6" s="206" t="s">
        <v>11</v>
      </c>
      <c r="F6" s="70"/>
      <c r="G6" s="65"/>
      <c r="H6" s="65"/>
      <c r="I6" s="65"/>
      <c r="J6" s="65"/>
      <c r="K6" s="65"/>
      <c r="L6" s="70"/>
      <c r="M6" s="70"/>
      <c r="N6" s="207"/>
      <c r="O6" s="70"/>
      <c r="Q6" s="70"/>
      <c r="R6" s="70"/>
      <c r="S6" s="65"/>
      <c r="T6" s="65"/>
      <c r="U6" s="65"/>
      <c r="V6" s="65"/>
      <c r="W6" s="65"/>
      <c r="X6" s="65"/>
      <c r="Y6" s="65"/>
      <c r="Z6" s="70"/>
      <c r="AA6" s="65"/>
      <c r="AB6" s="70"/>
      <c r="AC6" s="70"/>
      <c r="AD6" s="70"/>
      <c r="AE6" s="65"/>
      <c r="AF6" s="65"/>
      <c r="AG6" s="65"/>
      <c r="AH6" s="70"/>
      <c r="AI6" s="65"/>
      <c r="AJ6" s="70"/>
      <c r="AK6" s="70"/>
      <c r="AL6" s="70"/>
      <c r="AM6" s="65"/>
      <c r="AN6" s="65"/>
      <c r="AO6" s="65"/>
      <c r="AP6" s="70"/>
      <c r="AQ6" s="65"/>
      <c r="AR6" s="70"/>
      <c r="AS6" s="70"/>
      <c r="AT6" s="70"/>
      <c r="AU6" s="65"/>
      <c r="AV6" s="65"/>
      <c r="AW6" s="65"/>
      <c r="AX6" s="70"/>
      <c r="AY6" s="65"/>
      <c r="AZ6" s="70"/>
      <c r="BA6" s="70"/>
      <c r="BB6" s="70"/>
      <c r="BC6" s="28"/>
      <c r="BD6" s="28"/>
      <c r="BE6" s="28"/>
      <c r="BF6" s="28"/>
    </row>
    <row r="7" spans="1:58" ht="15" customHeight="1">
      <c r="A7" s="422"/>
      <c r="B7" s="96" t="s">
        <v>12</v>
      </c>
      <c r="C7" s="105" t="s">
        <v>13</v>
      </c>
      <c r="D7" s="128">
        <v>100</v>
      </c>
      <c r="E7" s="120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28"/>
      <c r="BD7" s="28"/>
      <c r="BE7" s="28"/>
      <c r="BF7" s="28"/>
    </row>
    <row r="8" spans="1:58" ht="15" customHeight="1">
      <c r="A8" s="423" t="s">
        <v>14</v>
      </c>
      <c r="B8" s="133" t="s">
        <v>15</v>
      </c>
      <c r="C8" s="134"/>
      <c r="D8" s="221" t="s">
        <v>16</v>
      </c>
      <c r="E8" s="120"/>
      <c r="F8" s="58"/>
      <c r="G8" s="65"/>
      <c r="H8" s="68"/>
      <c r="I8" s="68"/>
      <c r="J8" s="74"/>
      <c r="K8" s="74"/>
      <c r="L8" s="74"/>
      <c r="M8" s="65"/>
      <c r="N8" s="65"/>
      <c r="O8" s="65"/>
      <c r="P8" s="65"/>
      <c r="Q8" s="70"/>
      <c r="R8" s="70"/>
      <c r="S8" s="59"/>
      <c r="U8" s="59"/>
      <c r="W8" s="59"/>
      <c r="X8" s="59"/>
      <c r="Y8" s="59"/>
      <c r="Z8" s="65"/>
      <c r="AA8" s="59"/>
      <c r="AB8" s="68"/>
      <c r="AC8" s="74"/>
      <c r="AD8" s="74"/>
      <c r="AE8" s="59"/>
      <c r="AF8" s="59"/>
      <c r="AG8" s="59"/>
      <c r="AH8" s="65"/>
      <c r="AI8" s="59"/>
      <c r="AJ8" s="68"/>
      <c r="AK8" s="74"/>
      <c r="AL8" s="74"/>
      <c r="AM8" s="59"/>
      <c r="AN8" s="59"/>
      <c r="AO8" s="59"/>
      <c r="AP8" s="65"/>
      <c r="AQ8" s="59"/>
      <c r="AR8" s="68"/>
      <c r="AS8" s="74"/>
      <c r="AT8" s="74"/>
      <c r="AU8" s="59"/>
      <c r="AV8" s="59"/>
      <c r="AW8" s="59"/>
      <c r="AX8" s="65"/>
      <c r="AY8" s="59"/>
      <c r="AZ8" s="68"/>
      <c r="BA8" s="74"/>
      <c r="BB8" s="74"/>
      <c r="BC8" s="28"/>
      <c r="BD8" s="28"/>
      <c r="BE8" s="28"/>
      <c r="BF8" s="28"/>
    </row>
    <row r="9" spans="1:58" ht="15" customHeight="1">
      <c r="A9" s="421"/>
      <c r="B9" s="97" t="s">
        <v>17</v>
      </c>
      <c r="C9" s="105" t="s">
        <v>18</v>
      </c>
      <c r="D9" s="218">
        <v>500</v>
      </c>
      <c r="E9" s="120"/>
      <c r="F9" s="75"/>
      <c r="G9" s="73"/>
      <c r="H9" s="68"/>
      <c r="I9" s="68"/>
      <c r="J9" s="76"/>
      <c r="K9" s="70"/>
      <c r="L9" s="65"/>
      <c r="M9" s="65"/>
      <c r="N9" s="65"/>
      <c r="O9" s="65"/>
      <c r="P9" s="65"/>
      <c r="Q9" s="65"/>
      <c r="R9" s="65"/>
      <c r="S9" s="59"/>
      <c r="U9" s="59"/>
      <c r="W9" s="59"/>
      <c r="X9" s="59"/>
      <c r="Y9" s="59"/>
      <c r="Z9" s="73"/>
      <c r="AA9" s="59"/>
      <c r="AB9" s="68"/>
      <c r="AC9" s="76"/>
      <c r="AD9" s="70"/>
      <c r="AE9" s="59"/>
      <c r="AF9" s="59"/>
      <c r="AG9" s="59"/>
      <c r="AH9" s="73"/>
      <c r="AI9" s="59"/>
      <c r="AJ9" s="68"/>
      <c r="AK9" s="76"/>
      <c r="AL9" s="70"/>
      <c r="AM9" s="59"/>
      <c r="AN9" s="59"/>
      <c r="AO9" s="59"/>
      <c r="AP9" s="73"/>
      <c r="AQ9" s="59"/>
      <c r="AR9" s="68"/>
      <c r="AS9" s="76"/>
      <c r="AT9" s="70"/>
      <c r="AU9" s="59"/>
      <c r="AV9" s="59"/>
      <c r="AW9" s="59"/>
      <c r="AX9" s="73"/>
      <c r="AY9" s="59"/>
      <c r="AZ9" s="68"/>
      <c r="BA9" s="76"/>
      <c r="BB9" s="70"/>
      <c r="BC9" s="28"/>
      <c r="BD9" s="28"/>
      <c r="BE9" s="28"/>
      <c r="BF9" s="28"/>
    </row>
    <row r="10" spans="1:58" ht="15" customHeight="1">
      <c r="A10" s="424"/>
      <c r="B10" s="103" t="s">
        <v>19</v>
      </c>
      <c r="C10" s="106" t="s">
        <v>20</v>
      </c>
      <c r="D10" s="128">
        <v>-1</v>
      </c>
      <c r="E10" s="120"/>
      <c r="F10" s="77"/>
      <c r="G10" s="62"/>
      <c r="H10" s="68"/>
      <c r="I10" s="68"/>
      <c r="J10" s="65"/>
      <c r="K10" s="65"/>
      <c r="L10" s="65"/>
      <c r="M10" s="69"/>
      <c r="N10" s="72"/>
      <c r="O10" s="73"/>
      <c r="P10" s="65"/>
      <c r="Q10" s="65"/>
      <c r="R10" s="65"/>
      <c r="S10" s="59"/>
      <c r="T10" s="64"/>
      <c r="U10" s="59"/>
      <c r="V10" s="64"/>
      <c r="W10" s="59"/>
      <c r="X10" s="59"/>
      <c r="Y10" s="59"/>
      <c r="Z10" s="62"/>
      <c r="AA10" s="59"/>
      <c r="AB10" s="68"/>
      <c r="AC10" s="65"/>
      <c r="AD10" s="65"/>
      <c r="AE10" s="59"/>
      <c r="AF10" s="59"/>
      <c r="AG10" s="59"/>
      <c r="AH10" s="62"/>
      <c r="AI10" s="59"/>
      <c r="AJ10" s="68"/>
      <c r="AK10" s="65"/>
      <c r="AL10" s="65"/>
      <c r="AM10" s="59"/>
      <c r="AN10" s="59"/>
      <c r="AO10" s="59"/>
      <c r="AP10" s="62"/>
      <c r="AQ10" s="59"/>
      <c r="AR10" s="68"/>
      <c r="AS10" s="65"/>
      <c r="AT10" s="65"/>
      <c r="AU10" s="59"/>
      <c r="AV10" s="59"/>
      <c r="AW10" s="59"/>
      <c r="AX10" s="62"/>
      <c r="AY10" s="59"/>
      <c r="AZ10" s="68"/>
      <c r="BA10" s="65"/>
      <c r="BB10" s="65"/>
      <c r="BC10" s="28"/>
      <c r="BD10" s="28"/>
      <c r="BE10" s="28"/>
      <c r="BF10" s="28"/>
    </row>
    <row r="11" spans="1:58" ht="15" customHeight="1">
      <c r="A11" s="424"/>
      <c r="B11" s="104" t="s">
        <v>21</v>
      </c>
      <c r="C11" s="107"/>
      <c r="D11" s="38">
        <f>INDEX(Z_data,MATCH(D8,[0]!material,0))</f>
        <v>29</v>
      </c>
      <c r="E11" s="120"/>
      <c r="F11" s="69"/>
      <c r="G11" s="69"/>
      <c r="H11" s="68"/>
      <c r="I11" s="68"/>
      <c r="J11" s="78"/>
      <c r="K11" s="78"/>
      <c r="L11" s="78"/>
      <c r="M11" s="69"/>
      <c r="N11" s="72"/>
      <c r="O11" s="73"/>
      <c r="P11" s="65"/>
      <c r="Q11" s="65"/>
      <c r="R11" s="65"/>
      <c r="S11" s="59"/>
      <c r="U11" s="59"/>
      <c r="W11" s="59"/>
      <c r="X11" s="59"/>
      <c r="Y11" s="59"/>
      <c r="Z11" s="69"/>
      <c r="AA11" s="59"/>
      <c r="AB11" s="68"/>
      <c r="AC11" s="78"/>
      <c r="AD11" s="78"/>
      <c r="AE11" s="59"/>
      <c r="AF11" s="59"/>
      <c r="AG11" s="59"/>
      <c r="AH11" s="69"/>
      <c r="AI11" s="59"/>
      <c r="AJ11" s="68"/>
      <c r="AK11" s="78"/>
      <c r="AL11" s="78"/>
      <c r="AM11" s="59"/>
      <c r="AN11" s="59"/>
      <c r="AO11" s="59"/>
      <c r="AP11" s="69"/>
      <c r="AQ11" s="59"/>
      <c r="AR11" s="68"/>
      <c r="AS11" s="78"/>
      <c r="AT11" s="78"/>
      <c r="AU11" s="59"/>
      <c r="AV11" s="59"/>
      <c r="AW11" s="59"/>
      <c r="AX11" s="69"/>
      <c r="AY11" s="59"/>
      <c r="AZ11" s="68"/>
      <c r="BA11" s="78"/>
      <c r="BB11" s="78"/>
      <c r="BC11" s="28"/>
      <c r="BD11" s="28"/>
      <c r="BE11" s="28"/>
      <c r="BF11" s="28"/>
    </row>
    <row r="12" spans="1:58" ht="15" customHeight="1">
      <c r="A12" s="425" t="b">
        <v>0</v>
      </c>
      <c r="B12" s="104" t="s">
        <v>22</v>
      </c>
      <c r="C12" s="107"/>
      <c r="D12" s="38">
        <f>INDEX(A_data,MATCH(D8,[0]!material,0))</f>
        <v>63.5</v>
      </c>
      <c r="E12" s="120"/>
      <c r="F12" s="72"/>
      <c r="G12" s="59"/>
      <c r="H12" s="68"/>
      <c r="I12" s="68"/>
      <c r="J12" s="78"/>
      <c r="K12" s="78"/>
      <c r="L12" s="78"/>
      <c r="M12" s="69"/>
      <c r="N12" s="72"/>
      <c r="O12" s="73"/>
      <c r="P12" s="65"/>
      <c r="Q12" s="65"/>
      <c r="R12" s="65"/>
      <c r="S12" s="59"/>
      <c r="U12" s="59"/>
      <c r="W12" s="59"/>
      <c r="X12" s="59"/>
      <c r="Y12" s="59"/>
      <c r="Z12" s="59"/>
      <c r="AA12" s="59"/>
      <c r="AB12" s="68"/>
      <c r="AC12" s="78"/>
      <c r="AD12" s="78"/>
      <c r="AE12" s="59"/>
      <c r="AF12" s="59"/>
      <c r="AG12" s="59"/>
      <c r="AH12" s="59"/>
      <c r="AI12" s="59"/>
      <c r="AJ12" s="68"/>
      <c r="AK12" s="78"/>
      <c r="AL12" s="78"/>
      <c r="AM12" s="59"/>
      <c r="AN12" s="59"/>
      <c r="AO12" s="59"/>
      <c r="AP12" s="59"/>
      <c r="AQ12" s="59"/>
      <c r="AR12" s="68"/>
      <c r="AS12" s="78"/>
      <c r="AT12" s="78"/>
      <c r="AU12" s="59"/>
      <c r="AV12" s="59"/>
      <c r="AW12" s="59"/>
      <c r="AX12" s="59"/>
      <c r="AY12" s="59"/>
      <c r="AZ12" s="68"/>
      <c r="BA12" s="78"/>
      <c r="BB12" s="78"/>
      <c r="BC12" s="28"/>
      <c r="BD12" s="28"/>
      <c r="BE12" s="28"/>
      <c r="BF12" s="28"/>
    </row>
    <row r="13" spans="1:58" ht="15" customHeight="1">
      <c r="A13" s="426" t="s">
        <v>23</v>
      </c>
      <c r="B13" s="133" t="s">
        <v>15</v>
      </c>
      <c r="C13" s="134"/>
      <c r="D13" s="222" t="s">
        <v>79</v>
      </c>
      <c r="E13" s="120"/>
      <c r="F13" s="76"/>
      <c r="G13" s="58"/>
      <c r="H13" s="76"/>
      <c r="I13" s="76"/>
      <c r="J13" s="76"/>
      <c r="K13" s="76"/>
      <c r="L13" s="65"/>
      <c r="M13" s="65"/>
      <c r="N13" s="65"/>
      <c r="O13" s="65"/>
      <c r="P13" s="65"/>
      <c r="Q13" s="65"/>
      <c r="R13" s="65"/>
      <c r="S13" s="59"/>
      <c r="T13" s="64"/>
      <c r="U13" s="59"/>
      <c r="V13" s="64"/>
      <c r="W13" s="59"/>
      <c r="X13" s="59"/>
      <c r="Y13" s="59"/>
      <c r="Z13" s="58"/>
      <c r="AA13" s="59"/>
      <c r="AB13" s="76"/>
      <c r="AC13" s="76"/>
      <c r="AD13" s="76"/>
      <c r="AE13" s="59"/>
      <c r="AF13" s="59"/>
      <c r="AG13" s="59"/>
      <c r="AH13" s="58"/>
      <c r="AI13" s="59"/>
      <c r="AJ13" s="76"/>
      <c r="AK13" s="76"/>
      <c r="AL13" s="76"/>
      <c r="AM13" s="59"/>
      <c r="AN13" s="59"/>
      <c r="AO13" s="59"/>
      <c r="AP13" s="58"/>
      <c r="AQ13" s="59"/>
      <c r="AR13" s="76"/>
      <c r="AS13" s="76"/>
      <c r="AT13" s="76"/>
      <c r="AU13" s="59"/>
      <c r="AV13" s="59"/>
      <c r="AW13" s="59"/>
      <c r="AX13" s="58"/>
      <c r="AY13" s="59"/>
      <c r="AZ13" s="76"/>
      <c r="BA13" s="76"/>
      <c r="BB13" s="76"/>
      <c r="BC13" s="28"/>
      <c r="BD13" s="28"/>
      <c r="BE13" s="28"/>
      <c r="BF13" s="28"/>
    </row>
    <row r="14" spans="1:58" ht="15" customHeight="1">
      <c r="A14" s="427" t="s">
        <v>27</v>
      </c>
      <c r="B14" s="97" t="s">
        <v>17</v>
      </c>
      <c r="C14" s="105" t="s">
        <v>18</v>
      </c>
      <c r="D14" s="209">
        <v>1944</v>
      </c>
      <c r="E14" s="120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59"/>
      <c r="U14" s="59"/>
      <c r="W14" s="59"/>
      <c r="X14" s="59"/>
      <c r="Y14" s="59"/>
      <c r="Z14" s="65"/>
      <c r="AA14" s="59"/>
      <c r="AB14" s="65"/>
      <c r="AC14" s="65"/>
      <c r="AD14" s="65"/>
      <c r="AE14" s="59"/>
      <c r="AF14" s="59"/>
      <c r="AG14" s="59"/>
      <c r="AH14" s="65"/>
      <c r="AI14" s="59"/>
      <c r="AJ14" s="65"/>
      <c r="AK14" s="65"/>
      <c r="AL14" s="65"/>
      <c r="AM14" s="59"/>
      <c r="AN14" s="59"/>
      <c r="AO14" s="59"/>
      <c r="AP14" s="65"/>
      <c r="AQ14" s="59"/>
      <c r="AR14" s="65"/>
      <c r="AS14" s="65"/>
      <c r="AT14" s="65"/>
      <c r="AU14" s="59"/>
      <c r="AV14" s="59"/>
      <c r="AW14" s="59"/>
      <c r="AX14" s="65"/>
      <c r="AY14" s="59"/>
      <c r="AZ14" s="65"/>
      <c r="BA14" s="65"/>
      <c r="BB14" s="65"/>
      <c r="BC14" s="28"/>
      <c r="BD14" s="28"/>
      <c r="BE14" s="28"/>
      <c r="BF14" s="28"/>
    </row>
    <row r="15" spans="1:58" ht="15" customHeight="1">
      <c r="A15" s="428"/>
      <c r="B15" s="103" t="s">
        <v>19</v>
      </c>
      <c r="C15" s="106" t="s">
        <v>20</v>
      </c>
      <c r="D15" s="128">
        <v>0</v>
      </c>
      <c r="E15" s="120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59"/>
      <c r="U15" s="59"/>
      <c r="W15" s="59"/>
      <c r="X15" s="59"/>
      <c r="Y15" s="59"/>
      <c r="Z15" s="65"/>
      <c r="AA15" s="59"/>
      <c r="AB15" s="65"/>
      <c r="AC15" s="65"/>
      <c r="AD15" s="65"/>
      <c r="AE15" s="59"/>
      <c r="AF15" s="59"/>
      <c r="AG15" s="59"/>
      <c r="AH15" s="65"/>
      <c r="AI15" s="59"/>
      <c r="AJ15" s="65"/>
      <c r="AK15" s="65"/>
      <c r="AL15" s="65"/>
      <c r="AM15" s="59"/>
      <c r="AN15" s="59"/>
      <c r="AO15" s="59"/>
      <c r="AP15" s="65"/>
      <c r="AQ15" s="59"/>
      <c r="AR15" s="65"/>
      <c r="AS15" s="65"/>
      <c r="AT15" s="65"/>
      <c r="AU15" s="59"/>
      <c r="AV15" s="59"/>
      <c r="AW15" s="59"/>
      <c r="AX15" s="65"/>
      <c r="AY15" s="59"/>
      <c r="AZ15" s="65"/>
      <c r="BA15" s="65"/>
      <c r="BB15" s="65"/>
      <c r="BC15" s="28"/>
      <c r="BD15" s="28"/>
      <c r="BE15" s="28"/>
      <c r="BF15" s="28"/>
    </row>
    <row r="16" spans="1:58" ht="15" customHeight="1">
      <c r="A16" s="428"/>
      <c r="B16" s="104" t="s">
        <v>21</v>
      </c>
      <c r="C16" s="107"/>
      <c r="D16" s="38">
        <f>INDEX(Z_data,MATCH(D13,[0]!material,0))</f>
        <v>1</v>
      </c>
      <c r="E16" s="120"/>
      <c r="F16" s="73"/>
      <c r="G16" s="73"/>
      <c r="H16" s="73"/>
      <c r="I16" s="73"/>
      <c r="J16" s="73"/>
      <c r="K16" s="73"/>
      <c r="L16" s="73"/>
      <c r="M16" s="73"/>
      <c r="N16" s="65"/>
      <c r="O16" s="65"/>
      <c r="P16" s="65"/>
      <c r="Q16" s="65"/>
      <c r="R16" s="65"/>
      <c r="S16" s="59"/>
      <c r="U16" s="59"/>
      <c r="W16" s="59"/>
      <c r="X16" s="59"/>
      <c r="Y16" s="59"/>
      <c r="Z16" s="73"/>
      <c r="AA16" s="59"/>
      <c r="AB16" s="73"/>
      <c r="AC16" s="73"/>
      <c r="AD16" s="73"/>
      <c r="AE16" s="59"/>
      <c r="AF16" s="59"/>
      <c r="AG16" s="59"/>
      <c r="AH16" s="73"/>
      <c r="AI16" s="59"/>
      <c r="AJ16" s="73"/>
      <c r="AK16" s="73"/>
      <c r="AL16" s="73"/>
      <c r="AM16" s="59"/>
      <c r="AN16" s="59"/>
      <c r="AO16" s="59"/>
      <c r="AP16" s="73"/>
      <c r="AQ16" s="59"/>
      <c r="AR16" s="73"/>
      <c r="AS16" s="73"/>
      <c r="AT16" s="73"/>
      <c r="AU16" s="59"/>
      <c r="AV16" s="59"/>
      <c r="AW16" s="59"/>
      <c r="AX16" s="73"/>
      <c r="AY16" s="59"/>
      <c r="AZ16" s="73"/>
      <c r="BA16" s="73"/>
      <c r="BB16" s="73"/>
      <c r="BC16" s="28"/>
      <c r="BD16" s="28"/>
      <c r="BE16" s="28"/>
      <c r="BF16" s="28"/>
    </row>
    <row r="17" spans="1:58" ht="15" customHeight="1">
      <c r="A17" s="429" t="b">
        <v>1</v>
      </c>
      <c r="B17" s="104" t="s">
        <v>22</v>
      </c>
      <c r="C17" s="107"/>
      <c r="D17" s="38">
        <f>INDEX(A_data,MATCH(D13,[0]!material,0))</f>
        <v>2</v>
      </c>
      <c r="E17" s="120"/>
      <c r="F17" s="65"/>
      <c r="G17" s="65"/>
      <c r="H17" s="58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59"/>
      <c r="U17" s="59"/>
      <c r="W17" s="59"/>
      <c r="X17" s="59"/>
      <c r="Y17" s="59"/>
      <c r="Z17" s="65"/>
      <c r="AA17" s="59"/>
      <c r="AB17" s="65"/>
      <c r="AC17" s="65"/>
      <c r="AD17" s="65"/>
      <c r="AE17" s="59"/>
      <c r="AF17" s="59"/>
      <c r="AG17" s="59"/>
      <c r="AH17" s="65"/>
      <c r="AI17" s="59"/>
      <c r="AJ17" s="65"/>
      <c r="AK17" s="65"/>
      <c r="AL17" s="65"/>
      <c r="AM17" s="59"/>
      <c r="AN17" s="59"/>
      <c r="AO17" s="59"/>
      <c r="AP17" s="65"/>
      <c r="AQ17" s="59"/>
      <c r="AR17" s="65"/>
      <c r="AS17" s="65"/>
      <c r="AT17" s="65"/>
      <c r="AU17" s="59"/>
      <c r="AV17" s="59"/>
      <c r="AW17" s="59"/>
      <c r="AX17" s="65"/>
      <c r="AY17" s="59"/>
      <c r="AZ17" s="65"/>
      <c r="BA17" s="65"/>
      <c r="BB17" s="65"/>
      <c r="BC17" s="28"/>
      <c r="BD17" s="28"/>
      <c r="BE17" s="28"/>
      <c r="BF17" s="28"/>
    </row>
    <row r="18" spans="1:58" ht="15" customHeight="1">
      <c r="A18" s="423" t="s">
        <v>28</v>
      </c>
      <c r="B18" s="133" t="s">
        <v>15</v>
      </c>
      <c r="C18" s="134"/>
      <c r="D18" s="221" t="s">
        <v>24</v>
      </c>
      <c r="E18" s="120"/>
      <c r="F18" s="70"/>
      <c r="G18" s="70"/>
      <c r="H18" s="70"/>
      <c r="I18" s="70"/>
      <c r="J18" s="70"/>
      <c r="L18" s="70"/>
      <c r="M18" s="70"/>
      <c r="N18" s="70"/>
      <c r="O18" s="70"/>
      <c r="P18" s="65"/>
      <c r="Q18" s="65"/>
      <c r="R18" s="65"/>
      <c r="S18" s="59"/>
      <c r="U18" s="59"/>
      <c r="W18" s="59"/>
      <c r="X18" s="59"/>
      <c r="Y18" s="59"/>
      <c r="Z18" s="70"/>
      <c r="AA18" s="59"/>
      <c r="AB18" s="70"/>
      <c r="AC18" s="70"/>
      <c r="AE18" s="59"/>
      <c r="AF18" s="59"/>
      <c r="AG18" s="59"/>
      <c r="AH18" s="70"/>
      <c r="AI18" s="59"/>
      <c r="AJ18" s="70"/>
      <c r="AK18" s="70"/>
      <c r="AM18" s="59"/>
      <c r="AN18" s="59"/>
      <c r="AO18" s="59"/>
      <c r="AP18" s="70"/>
      <c r="AQ18" s="59"/>
      <c r="AR18" s="70"/>
      <c r="AS18" s="70"/>
      <c r="AU18" s="59"/>
      <c r="AV18" s="59"/>
      <c r="AW18" s="59"/>
      <c r="AX18" s="70"/>
      <c r="AY18" s="59"/>
      <c r="AZ18" s="70"/>
      <c r="BA18" s="70"/>
      <c r="BC18" s="28"/>
      <c r="BD18" s="28"/>
      <c r="BE18" s="28"/>
      <c r="BF18" s="28"/>
    </row>
    <row r="19" spans="1:58" ht="15" customHeight="1">
      <c r="A19" s="430" t="s">
        <v>30</v>
      </c>
      <c r="B19" s="97" t="s">
        <v>17</v>
      </c>
      <c r="C19" s="105" t="s">
        <v>18</v>
      </c>
      <c r="D19" s="129">
        <v>852</v>
      </c>
      <c r="E19" s="120"/>
      <c r="F19" s="73"/>
      <c r="G19" s="73"/>
      <c r="H19" s="73"/>
      <c r="I19" s="73"/>
      <c r="J19" s="73"/>
      <c r="L19" s="70"/>
      <c r="M19" s="70"/>
      <c r="N19" s="70"/>
      <c r="O19" s="70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73"/>
      <c r="AA19" s="65"/>
      <c r="AB19" s="73"/>
      <c r="AC19" s="73"/>
      <c r="AE19" s="65"/>
      <c r="AF19" s="65"/>
      <c r="AG19" s="65"/>
      <c r="AH19" s="73"/>
      <c r="AI19" s="65"/>
      <c r="AJ19" s="73"/>
      <c r="AK19" s="73"/>
      <c r="AM19" s="65"/>
      <c r="AN19" s="65"/>
      <c r="AO19" s="65"/>
      <c r="AP19" s="73"/>
      <c r="AQ19" s="65"/>
      <c r="AR19" s="73"/>
      <c r="AS19" s="73"/>
      <c r="AU19" s="65"/>
      <c r="AV19" s="65"/>
      <c r="AW19" s="65"/>
      <c r="AX19" s="73"/>
      <c r="AY19" s="65"/>
      <c r="AZ19" s="73"/>
      <c r="BA19" s="73"/>
      <c r="BC19" s="28"/>
      <c r="BD19" s="28"/>
      <c r="BE19" s="28"/>
      <c r="BF19" s="28"/>
    </row>
    <row r="20" spans="1:58" ht="15" customHeight="1">
      <c r="A20" s="424"/>
      <c r="B20" s="103" t="s">
        <v>19</v>
      </c>
      <c r="C20" s="106" t="s">
        <v>20</v>
      </c>
      <c r="D20" s="128">
        <v>0</v>
      </c>
      <c r="E20" s="120"/>
      <c r="F20" s="72"/>
      <c r="G20" s="72"/>
      <c r="H20" s="68"/>
      <c r="I20" s="72"/>
      <c r="J20" s="72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72"/>
      <c r="AA20" s="65"/>
      <c r="AB20" s="72"/>
      <c r="AC20" s="72"/>
      <c r="AE20" s="65"/>
      <c r="AF20" s="65"/>
      <c r="AG20" s="65"/>
      <c r="AH20" s="72"/>
      <c r="AI20" s="65"/>
      <c r="AJ20" s="72"/>
      <c r="AK20" s="72"/>
      <c r="AM20" s="65"/>
      <c r="AN20" s="65"/>
      <c r="AO20" s="65"/>
      <c r="AP20" s="72"/>
      <c r="AQ20" s="65"/>
      <c r="AR20" s="72"/>
      <c r="AS20" s="72"/>
      <c r="AU20" s="65"/>
      <c r="AV20" s="65"/>
      <c r="AW20" s="65"/>
      <c r="AX20" s="72"/>
      <c r="AY20" s="65"/>
      <c r="AZ20" s="72"/>
      <c r="BA20" s="72"/>
      <c r="BC20" s="28"/>
      <c r="BD20" s="28"/>
      <c r="BE20" s="28"/>
      <c r="BF20" s="28"/>
    </row>
    <row r="21" spans="1:58" ht="15" customHeight="1">
      <c r="A21" s="424"/>
      <c r="B21" s="104" t="s">
        <v>21</v>
      </c>
      <c r="C21" s="107"/>
      <c r="D21" s="38">
        <f>INDEX(Z_data,MATCH(D18,[0]!material,0))</f>
        <v>1</v>
      </c>
      <c r="E21" s="120"/>
      <c r="F21" s="70"/>
      <c r="G21" s="70"/>
      <c r="H21" s="70"/>
      <c r="I21" s="70"/>
      <c r="J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E21" s="70"/>
      <c r="AF21" s="70"/>
      <c r="AG21" s="70"/>
      <c r="AH21" s="70"/>
      <c r="AI21" s="70"/>
      <c r="AJ21" s="70"/>
      <c r="AK21" s="70"/>
      <c r="AM21" s="70"/>
      <c r="AN21" s="70"/>
      <c r="AO21" s="70"/>
      <c r="AP21" s="70"/>
      <c r="AQ21" s="70"/>
      <c r="AR21" s="70"/>
      <c r="AS21" s="70"/>
      <c r="AU21" s="70"/>
      <c r="AV21" s="70"/>
      <c r="AW21" s="70"/>
      <c r="AX21" s="70"/>
      <c r="AY21" s="70"/>
      <c r="AZ21" s="70"/>
      <c r="BA21" s="70"/>
      <c r="BC21" s="28"/>
      <c r="BD21" s="28"/>
      <c r="BE21" s="28"/>
      <c r="BF21" s="28"/>
    </row>
    <row r="22" spans="1:58" ht="15" customHeight="1">
      <c r="A22" s="425" t="b">
        <v>0</v>
      </c>
      <c r="B22" s="104" t="s">
        <v>22</v>
      </c>
      <c r="C22" s="107"/>
      <c r="D22" s="38">
        <f>INDEX(A_data,MATCH(D18,[0]!material,0))</f>
        <v>1</v>
      </c>
      <c r="E22" s="120"/>
      <c r="F22" s="79"/>
      <c r="G22" s="79"/>
      <c r="H22" s="79"/>
      <c r="I22" s="79"/>
      <c r="J22" s="79"/>
      <c r="L22" s="71"/>
      <c r="M22" s="71"/>
      <c r="N22" s="71"/>
      <c r="O22" s="71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9"/>
      <c r="AA22" s="70"/>
      <c r="AB22" s="79"/>
      <c r="AC22" s="79"/>
      <c r="AE22" s="70"/>
      <c r="AF22" s="70"/>
      <c r="AG22" s="70"/>
      <c r="AH22" s="79"/>
      <c r="AI22" s="70"/>
      <c r="AJ22" s="79"/>
      <c r="AK22" s="79"/>
      <c r="AM22" s="70"/>
      <c r="AN22" s="70"/>
      <c r="AO22" s="70"/>
      <c r="AP22" s="79"/>
      <c r="AQ22" s="70"/>
      <c r="AR22" s="79"/>
      <c r="AS22" s="79"/>
      <c r="AU22" s="70"/>
      <c r="AV22" s="70"/>
      <c r="AW22" s="70"/>
      <c r="AX22" s="79"/>
      <c r="AY22" s="70"/>
      <c r="AZ22" s="79"/>
      <c r="BA22" s="79"/>
      <c r="BC22" s="28"/>
      <c r="BD22" s="28"/>
      <c r="BE22" s="28"/>
      <c r="BF22" s="28"/>
    </row>
    <row r="23" spans="1:58" ht="15" customHeight="1">
      <c r="A23" s="423" t="s">
        <v>28</v>
      </c>
      <c r="B23" s="133" t="s">
        <v>15</v>
      </c>
      <c r="C23" s="134"/>
      <c r="D23" s="221" t="s">
        <v>31</v>
      </c>
      <c r="E23" s="120"/>
      <c r="F23" s="70"/>
      <c r="G23" s="77"/>
      <c r="H23" s="77"/>
      <c r="I23" s="77"/>
      <c r="J23" s="77"/>
      <c r="K23" s="77"/>
      <c r="L23" s="65"/>
      <c r="M23" s="70"/>
      <c r="N23" s="70"/>
      <c r="O23" s="59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C23" s="70"/>
      <c r="AD23" s="70"/>
      <c r="AE23" s="70"/>
      <c r="AF23" s="70"/>
      <c r="AG23" s="70"/>
      <c r="AH23" s="70"/>
      <c r="AI23" s="70"/>
      <c r="AK23" s="70"/>
      <c r="AL23" s="70"/>
      <c r="AM23" s="70"/>
      <c r="AN23" s="70"/>
      <c r="AO23" s="70"/>
      <c r="AP23" s="70"/>
      <c r="AQ23" s="70"/>
      <c r="AS23" s="70"/>
      <c r="AT23" s="70"/>
      <c r="AU23" s="70"/>
      <c r="AV23" s="70"/>
      <c r="AW23" s="70"/>
      <c r="AX23" s="70"/>
      <c r="AY23" s="70"/>
      <c r="BA23" s="70"/>
      <c r="BB23" s="70"/>
      <c r="BC23" s="28"/>
      <c r="BD23" s="28"/>
      <c r="BE23" s="28"/>
      <c r="BF23" s="28"/>
    </row>
    <row r="24" spans="1:58" ht="15" customHeight="1">
      <c r="A24" s="421" t="s">
        <v>32</v>
      </c>
      <c r="B24" s="97" t="s">
        <v>17</v>
      </c>
      <c r="C24" s="105" t="s">
        <v>18</v>
      </c>
      <c r="D24" s="129">
        <v>400</v>
      </c>
      <c r="E24" s="120"/>
      <c r="F24" s="70"/>
      <c r="G24" s="77"/>
      <c r="H24" s="77"/>
      <c r="I24" s="77"/>
      <c r="J24" s="77"/>
      <c r="K24" s="77"/>
      <c r="L24" s="70"/>
      <c r="M24" s="70"/>
      <c r="N24" s="70"/>
      <c r="O24" s="59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C24" s="70"/>
      <c r="AD24" s="70"/>
      <c r="AE24" s="70"/>
      <c r="AF24" s="70"/>
      <c r="AG24" s="70"/>
      <c r="AH24" s="70"/>
      <c r="AI24" s="70"/>
      <c r="AK24" s="70"/>
      <c r="AL24" s="70"/>
      <c r="AM24" s="70"/>
      <c r="AN24" s="70"/>
      <c r="AO24" s="70"/>
      <c r="AP24" s="70"/>
      <c r="AQ24" s="70"/>
      <c r="AS24" s="70"/>
      <c r="AT24" s="70"/>
      <c r="AU24" s="70"/>
      <c r="AV24" s="70"/>
      <c r="AW24" s="70"/>
      <c r="AX24" s="70"/>
      <c r="AY24" s="70"/>
      <c r="BA24" s="70"/>
      <c r="BB24" s="70"/>
      <c r="BC24" s="28"/>
      <c r="BD24" s="28"/>
      <c r="BE24" s="28"/>
      <c r="BF24" s="28"/>
    </row>
    <row r="25" spans="1:58" ht="15" customHeight="1">
      <c r="A25" s="424"/>
      <c r="B25" s="103" t="s">
        <v>19</v>
      </c>
      <c r="C25" s="106" t="s">
        <v>20</v>
      </c>
      <c r="D25" s="128">
        <v>0</v>
      </c>
      <c r="E25" s="120"/>
      <c r="F25" s="65"/>
      <c r="G25" s="77"/>
      <c r="H25" s="77"/>
      <c r="I25" s="77"/>
      <c r="J25" s="77"/>
      <c r="K25" s="77"/>
      <c r="L25" s="59"/>
      <c r="M25" s="59"/>
      <c r="N25" s="59"/>
      <c r="O25" s="80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28"/>
      <c r="BD25" s="28"/>
      <c r="BE25" s="28"/>
      <c r="BF25" s="28"/>
    </row>
    <row r="26" spans="1:58" ht="15" customHeight="1">
      <c r="A26" s="424"/>
      <c r="B26" s="104" t="s">
        <v>21</v>
      </c>
      <c r="C26" s="107"/>
      <c r="D26" s="38">
        <f>INDEX(Z_data,MATCH(D23,[0]!material,0))</f>
        <v>8</v>
      </c>
      <c r="E26" s="120"/>
      <c r="F26" s="70"/>
      <c r="G26" s="77"/>
      <c r="H26" s="77"/>
      <c r="I26" s="77"/>
      <c r="J26" s="77"/>
      <c r="K26" s="77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28"/>
      <c r="BD26" s="28"/>
      <c r="BE26" s="28"/>
      <c r="BF26" s="28"/>
    </row>
    <row r="27" spans="1:58" ht="15" customHeight="1">
      <c r="A27" s="425" t="b">
        <v>0</v>
      </c>
      <c r="B27" s="104" t="s">
        <v>22</v>
      </c>
      <c r="C27" s="107"/>
      <c r="D27" s="38">
        <f>INDEX(A_data,MATCH(D23,[0]!material,0))</f>
        <v>16</v>
      </c>
      <c r="E27" s="120"/>
      <c r="F27" s="71"/>
      <c r="G27" s="77"/>
      <c r="H27" s="77"/>
      <c r="I27" s="77"/>
      <c r="J27" s="77"/>
      <c r="K27" s="77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1"/>
      <c r="AA27" s="70"/>
      <c r="AB27" s="71"/>
      <c r="AC27" s="71"/>
      <c r="AD27" s="71"/>
      <c r="AE27" s="70"/>
      <c r="AF27" s="70"/>
      <c r="AG27" s="70"/>
      <c r="AH27" s="71"/>
      <c r="AI27" s="70"/>
      <c r="AJ27" s="71"/>
      <c r="AK27" s="71"/>
      <c r="AL27" s="71"/>
      <c r="AM27" s="70"/>
      <c r="AN27" s="70"/>
      <c r="AO27" s="70"/>
      <c r="AP27" s="71"/>
      <c r="AQ27" s="70"/>
      <c r="AR27" s="71"/>
      <c r="AS27" s="71"/>
      <c r="AT27" s="71"/>
      <c r="AU27" s="70"/>
      <c r="AV27" s="70"/>
      <c r="AW27" s="70"/>
      <c r="AX27" s="71"/>
      <c r="AY27" s="70"/>
      <c r="AZ27" s="71"/>
      <c r="BA27" s="71"/>
      <c r="BB27" s="71"/>
      <c r="BC27" s="28"/>
      <c r="BD27" s="28"/>
      <c r="BE27" s="28"/>
      <c r="BF27" s="28"/>
    </row>
    <row r="28" spans="1:58" ht="15" customHeight="1">
      <c r="A28" s="423" t="s">
        <v>28</v>
      </c>
      <c r="B28" s="133" t="s">
        <v>15</v>
      </c>
      <c r="C28" s="134"/>
      <c r="D28" s="221" t="s">
        <v>31</v>
      </c>
      <c r="E28" s="120"/>
      <c r="F28" s="71"/>
      <c r="G28" s="77"/>
      <c r="H28" s="77"/>
      <c r="I28" s="77"/>
      <c r="J28" s="77"/>
      <c r="K28" s="77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1"/>
      <c r="AA28" s="70"/>
      <c r="AB28" s="71"/>
      <c r="AC28" s="71"/>
      <c r="AD28" s="71"/>
      <c r="AE28" s="70"/>
      <c r="AF28" s="70"/>
      <c r="AG28" s="70"/>
      <c r="AH28" s="71"/>
      <c r="AI28" s="70"/>
      <c r="AJ28" s="71"/>
      <c r="AK28" s="71"/>
      <c r="AL28" s="71"/>
      <c r="AM28" s="70"/>
      <c r="AN28" s="70"/>
      <c r="AO28" s="70"/>
      <c r="AP28" s="71"/>
      <c r="AQ28" s="70"/>
      <c r="AR28" s="71"/>
      <c r="AS28" s="71"/>
      <c r="AT28" s="71"/>
      <c r="AU28" s="70"/>
      <c r="AV28" s="70"/>
      <c r="AW28" s="70"/>
      <c r="AX28" s="71"/>
      <c r="AY28" s="70"/>
      <c r="AZ28" s="71"/>
      <c r="BA28" s="71"/>
      <c r="BB28" s="71"/>
      <c r="BC28" s="28"/>
      <c r="BD28" s="28"/>
      <c r="BE28" s="28"/>
      <c r="BF28" s="28"/>
    </row>
    <row r="29" spans="1:58" ht="15" customHeight="1">
      <c r="A29" s="421" t="s">
        <v>34</v>
      </c>
      <c r="B29" s="97" t="s">
        <v>17</v>
      </c>
      <c r="C29" s="105" t="s">
        <v>18</v>
      </c>
      <c r="D29" s="129">
        <v>400</v>
      </c>
      <c r="E29" s="120"/>
      <c r="F29" s="71"/>
      <c r="G29" s="77"/>
      <c r="H29" s="77"/>
      <c r="I29" s="77"/>
      <c r="J29" s="77"/>
      <c r="K29" s="77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1"/>
      <c r="AA29" s="70"/>
      <c r="AB29" s="71"/>
      <c r="AC29" s="71"/>
      <c r="AD29" s="71"/>
      <c r="AE29" s="70"/>
      <c r="AF29" s="70"/>
      <c r="AG29" s="70"/>
      <c r="AH29" s="71"/>
      <c r="AI29" s="70"/>
      <c r="AJ29" s="71"/>
      <c r="AK29" s="71"/>
      <c r="AL29" s="71"/>
      <c r="AM29" s="70"/>
      <c r="AN29" s="70"/>
      <c r="AO29" s="70"/>
      <c r="AP29" s="71"/>
      <c r="AQ29" s="70"/>
      <c r="AR29" s="71"/>
      <c r="AS29" s="71"/>
      <c r="AT29" s="71"/>
      <c r="AU29" s="70"/>
      <c r="AV29" s="70"/>
      <c r="AW29" s="70"/>
      <c r="AX29" s="71"/>
      <c r="AY29" s="70"/>
      <c r="AZ29" s="71"/>
      <c r="BA29" s="71"/>
      <c r="BB29" s="71"/>
      <c r="BC29" s="28"/>
      <c r="BD29" s="28"/>
      <c r="BE29" s="28"/>
      <c r="BF29" s="28"/>
    </row>
    <row r="30" spans="1:58" ht="15" customHeight="1">
      <c r="A30" s="424"/>
      <c r="B30" s="103" t="s">
        <v>19</v>
      </c>
      <c r="C30" s="106" t="s">
        <v>20</v>
      </c>
      <c r="D30" s="128">
        <v>0</v>
      </c>
      <c r="E30" s="120"/>
      <c r="F30" s="71"/>
      <c r="G30" s="77"/>
      <c r="H30" s="77"/>
      <c r="I30" s="77"/>
      <c r="J30" s="77"/>
      <c r="K30" s="77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1"/>
      <c r="AA30" s="70"/>
      <c r="AB30" s="71"/>
      <c r="AC30" s="71"/>
      <c r="AD30" s="71"/>
      <c r="AE30" s="70"/>
      <c r="AF30" s="70"/>
      <c r="AG30" s="70"/>
      <c r="AH30" s="71"/>
      <c r="AI30" s="70"/>
      <c r="AJ30" s="71"/>
      <c r="AK30" s="71"/>
      <c r="AL30" s="71"/>
      <c r="AM30" s="70"/>
      <c r="AN30" s="70"/>
      <c r="AO30" s="70"/>
      <c r="AP30" s="71"/>
      <c r="AQ30" s="70"/>
      <c r="AR30" s="71"/>
      <c r="AS30" s="71"/>
      <c r="AT30" s="71"/>
      <c r="AU30" s="70"/>
      <c r="AV30" s="70"/>
      <c r="AW30" s="70"/>
      <c r="AX30" s="71"/>
      <c r="AY30" s="70"/>
      <c r="AZ30" s="71"/>
      <c r="BA30" s="71"/>
      <c r="BB30" s="71"/>
      <c r="BC30" s="28"/>
      <c r="BD30" s="28"/>
      <c r="BE30" s="28"/>
      <c r="BF30" s="28"/>
    </row>
    <row r="31" spans="1:58" ht="15" customHeight="1">
      <c r="A31" s="424"/>
      <c r="B31" s="104" t="s">
        <v>21</v>
      </c>
      <c r="C31" s="107"/>
      <c r="D31" s="38">
        <f>INDEX(Z_data,MATCH(D28,[0]!material,0))</f>
        <v>8</v>
      </c>
      <c r="E31" s="120"/>
      <c r="F31" s="71"/>
      <c r="G31" s="77"/>
      <c r="H31" s="77"/>
      <c r="I31" s="77"/>
      <c r="J31" s="77"/>
      <c r="K31" s="77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1"/>
      <c r="AA31" s="70"/>
      <c r="AB31" s="71"/>
      <c r="AC31" s="71"/>
      <c r="AD31" s="71"/>
      <c r="AE31" s="70"/>
      <c r="AF31" s="70"/>
      <c r="AG31" s="70"/>
      <c r="AH31" s="71"/>
      <c r="AI31" s="70"/>
      <c r="AJ31" s="71"/>
      <c r="AK31" s="71"/>
      <c r="AL31" s="71"/>
      <c r="AM31" s="70"/>
      <c r="AN31" s="70"/>
      <c r="AO31" s="70"/>
      <c r="AP31" s="71"/>
      <c r="AQ31" s="70"/>
      <c r="AR31" s="71"/>
      <c r="AS31" s="71"/>
      <c r="AT31" s="71"/>
      <c r="AU31" s="70"/>
      <c r="AV31" s="70"/>
      <c r="AW31" s="70"/>
      <c r="AX31" s="71"/>
      <c r="AY31" s="70"/>
      <c r="AZ31" s="71"/>
      <c r="BA31" s="71"/>
      <c r="BB31" s="71"/>
      <c r="BC31" s="28"/>
      <c r="BD31" s="28"/>
      <c r="BE31" s="28"/>
      <c r="BF31" s="28"/>
    </row>
    <row r="32" spans="1:58" ht="15" customHeight="1">
      <c r="A32" s="425" t="b">
        <v>0</v>
      </c>
      <c r="B32" s="104" t="s">
        <v>22</v>
      </c>
      <c r="C32" s="107"/>
      <c r="D32" s="38">
        <f>INDEX(A_data,MATCH(D28,[0]!material,0))</f>
        <v>16</v>
      </c>
      <c r="E32" s="120"/>
      <c r="F32" s="71"/>
      <c r="G32" s="77"/>
      <c r="H32" s="77"/>
      <c r="I32" s="77"/>
      <c r="J32" s="77"/>
      <c r="K32" s="77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1"/>
      <c r="AA32" s="70"/>
      <c r="AB32" s="71"/>
      <c r="AC32" s="71"/>
      <c r="AD32" s="71"/>
      <c r="AE32" s="70"/>
      <c r="AF32" s="70"/>
      <c r="AG32" s="70"/>
      <c r="AH32" s="71"/>
      <c r="AI32" s="70"/>
      <c r="AJ32" s="71"/>
      <c r="AK32" s="71"/>
      <c r="AL32" s="71"/>
      <c r="AM32" s="70"/>
      <c r="AN32" s="70"/>
      <c r="AO32" s="70"/>
      <c r="AP32" s="71"/>
      <c r="AQ32" s="70"/>
      <c r="AR32" s="71"/>
      <c r="AS32" s="71"/>
      <c r="AT32" s="71"/>
      <c r="AU32" s="70"/>
      <c r="AV32" s="70"/>
      <c r="AW32" s="70"/>
      <c r="AX32" s="71"/>
      <c r="AY32" s="70"/>
      <c r="AZ32" s="71"/>
      <c r="BA32" s="71"/>
      <c r="BB32" s="71"/>
      <c r="BC32" s="28"/>
      <c r="BD32" s="28"/>
      <c r="BE32" s="28"/>
      <c r="BF32" s="28"/>
    </row>
    <row r="33" spans="1:58" ht="15" customHeight="1">
      <c r="A33" s="423" t="s">
        <v>28</v>
      </c>
      <c r="B33" s="133" t="s">
        <v>15</v>
      </c>
      <c r="C33" s="134"/>
      <c r="D33" s="221" t="s">
        <v>31</v>
      </c>
      <c r="E33" s="120"/>
      <c r="F33" s="71"/>
      <c r="G33" s="77"/>
      <c r="H33" s="77"/>
      <c r="I33" s="77"/>
      <c r="J33" s="77"/>
      <c r="K33" s="77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1"/>
      <c r="AA33" s="70"/>
      <c r="AB33" s="71"/>
      <c r="AC33" s="71"/>
      <c r="AD33" s="71"/>
      <c r="AE33" s="70"/>
      <c r="AF33" s="70"/>
      <c r="AG33" s="70"/>
      <c r="AH33" s="71"/>
      <c r="AI33" s="70"/>
      <c r="AJ33" s="71"/>
      <c r="AK33" s="71"/>
      <c r="AL33" s="71"/>
      <c r="AM33" s="70"/>
      <c r="AN33" s="70"/>
      <c r="AO33" s="70"/>
      <c r="AP33" s="71"/>
      <c r="AQ33" s="70"/>
      <c r="AR33" s="71"/>
      <c r="AS33" s="71"/>
      <c r="AT33" s="71"/>
      <c r="AU33" s="70"/>
      <c r="AV33" s="70"/>
      <c r="AW33" s="70"/>
      <c r="AX33" s="71"/>
      <c r="AY33" s="70"/>
      <c r="AZ33" s="71"/>
      <c r="BA33" s="71"/>
      <c r="BB33" s="71"/>
      <c r="BC33" s="28"/>
      <c r="BD33" s="28"/>
      <c r="BE33" s="28"/>
      <c r="BF33" s="28"/>
    </row>
    <row r="34" spans="1:58" ht="15" customHeight="1">
      <c r="A34" s="421" t="s">
        <v>36</v>
      </c>
      <c r="B34" s="97" t="s">
        <v>17</v>
      </c>
      <c r="C34" s="105" t="s">
        <v>18</v>
      </c>
      <c r="D34" s="129">
        <v>400</v>
      </c>
      <c r="E34" s="120"/>
      <c r="F34" s="71"/>
      <c r="G34" s="77"/>
      <c r="H34" s="77"/>
      <c r="I34" s="77"/>
      <c r="J34" s="77"/>
      <c r="K34" s="77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1"/>
      <c r="AA34" s="70"/>
      <c r="AB34" s="71"/>
      <c r="AC34" s="71"/>
      <c r="AD34" s="71"/>
      <c r="AE34" s="70"/>
      <c r="AF34" s="70"/>
      <c r="AG34" s="70"/>
      <c r="AH34" s="71"/>
      <c r="AI34" s="70"/>
      <c r="AJ34" s="71"/>
      <c r="AK34" s="71"/>
      <c r="AL34" s="71"/>
      <c r="AM34" s="70"/>
      <c r="AN34" s="70"/>
      <c r="AO34" s="70"/>
      <c r="AP34" s="71"/>
      <c r="AQ34" s="70"/>
      <c r="AR34" s="71"/>
      <c r="AS34" s="71"/>
      <c r="AT34" s="71"/>
      <c r="AU34" s="70"/>
      <c r="AV34" s="70"/>
      <c r="AW34" s="70"/>
      <c r="AX34" s="71"/>
      <c r="AY34" s="70"/>
      <c r="AZ34" s="71"/>
      <c r="BA34" s="71"/>
      <c r="BB34" s="71"/>
      <c r="BC34" s="28"/>
      <c r="BD34" s="28"/>
      <c r="BE34" s="28"/>
      <c r="BF34" s="28"/>
    </row>
    <row r="35" spans="1:58" ht="15" customHeight="1">
      <c r="A35" s="424"/>
      <c r="B35" s="103" t="s">
        <v>19</v>
      </c>
      <c r="C35" s="106" t="s">
        <v>20</v>
      </c>
      <c r="D35" s="128">
        <v>0</v>
      </c>
      <c r="E35" s="120"/>
      <c r="F35" s="71"/>
      <c r="G35" s="77"/>
      <c r="H35" s="77"/>
      <c r="I35" s="77"/>
      <c r="J35" s="77"/>
      <c r="K35" s="77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1"/>
      <c r="AA35" s="70"/>
      <c r="AB35" s="71"/>
      <c r="AC35" s="71"/>
      <c r="AD35" s="71"/>
      <c r="AE35" s="70"/>
      <c r="AF35" s="70"/>
      <c r="AG35" s="70"/>
      <c r="AH35" s="71"/>
      <c r="AI35" s="70"/>
      <c r="AJ35" s="71"/>
      <c r="AK35" s="71"/>
      <c r="AL35" s="71"/>
      <c r="AM35" s="70"/>
      <c r="AN35" s="70"/>
      <c r="AO35" s="70"/>
      <c r="AP35" s="71"/>
      <c r="AQ35" s="70"/>
      <c r="AR35" s="71"/>
      <c r="AS35" s="71"/>
      <c r="AT35" s="71"/>
      <c r="AU35" s="70"/>
      <c r="AV35" s="70"/>
      <c r="AW35" s="70"/>
      <c r="AX35" s="71"/>
      <c r="AY35" s="70"/>
      <c r="AZ35" s="71"/>
      <c r="BA35" s="71"/>
      <c r="BB35" s="71"/>
      <c r="BC35" s="28"/>
      <c r="BD35" s="28"/>
      <c r="BE35" s="28"/>
      <c r="BF35" s="28"/>
    </row>
    <row r="36" spans="1:58" ht="15" customHeight="1">
      <c r="A36" s="424"/>
      <c r="B36" s="104" t="s">
        <v>21</v>
      </c>
      <c r="C36" s="107"/>
      <c r="D36" s="38">
        <f>INDEX(Z_data,MATCH(D33,[0]!material,0))</f>
        <v>8</v>
      </c>
      <c r="E36" s="120"/>
      <c r="F36" s="71"/>
      <c r="G36" s="77"/>
      <c r="H36" s="77"/>
      <c r="I36" s="77"/>
      <c r="J36" s="77"/>
      <c r="K36" s="77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1"/>
      <c r="AA36" s="70"/>
      <c r="AB36" s="71"/>
      <c r="AC36" s="71"/>
      <c r="AD36" s="71"/>
      <c r="AE36" s="70"/>
      <c r="AF36" s="70"/>
      <c r="AG36" s="70"/>
      <c r="AH36" s="71"/>
      <c r="AI36" s="70"/>
      <c r="AJ36" s="71"/>
      <c r="AK36" s="71"/>
      <c r="AL36" s="71"/>
      <c r="AM36" s="70"/>
      <c r="AN36" s="70"/>
      <c r="AO36" s="70"/>
      <c r="AP36" s="71"/>
      <c r="AQ36" s="70"/>
      <c r="AR36" s="71"/>
      <c r="AS36" s="71"/>
      <c r="AT36" s="71"/>
      <c r="AU36" s="70"/>
      <c r="AV36" s="70"/>
      <c r="AW36" s="70"/>
      <c r="AX36" s="71"/>
      <c r="AY36" s="70"/>
      <c r="AZ36" s="71"/>
      <c r="BA36" s="71"/>
      <c r="BB36" s="71"/>
      <c r="BC36" s="28"/>
      <c r="BD36" s="28"/>
      <c r="BE36" s="28"/>
      <c r="BF36" s="28"/>
    </row>
    <row r="37" spans="1:58" ht="15" customHeight="1">
      <c r="A37" s="425" t="b">
        <v>0</v>
      </c>
      <c r="B37" s="104" t="s">
        <v>22</v>
      </c>
      <c r="C37" s="107"/>
      <c r="D37" s="38">
        <f>INDEX(A_data,MATCH(D33,[0]!material,0))</f>
        <v>16</v>
      </c>
      <c r="E37" s="120"/>
      <c r="F37" s="71"/>
      <c r="G37" s="77"/>
      <c r="H37" s="77"/>
      <c r="I37" s="77"/>
      <c r="J37" s="77"/>
      <c r="K37" s="77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1"/>
      <c r="AA37" s="70"/>
      <c r="AB37" s="71"/>
      <c r="AC37" s="71"/>
      <c r="AD37" s="71"/>
      <c r="AE37" s="70"/>
      <c r="AF37" s="70"/>
      <c r="AG37" s="70"/>
      <c r="AH37" s="71"/>
      <c r="AI37" s="70"/>
      <c r="AJ37" s="71"/>
      <c r="AK37" s="71"/>
      <c r="AL37" s="71"/>
      <c r="AM37" s="70"/>
      <c r="AN37" s="70"/>
      <c r="AO37" s="70"/>
      <c r="AP37" s="71"/>
      <c r="AQ37" s="70"/>
      <c r="AR37" s="71"/>
      <c r="AS37" s="71"/>
      <c r="AT37" s="71"/>
      <c r="AU37" s="70"/>
      <c r="AV37" s="70"/>
      <c r="AW37" s="70"/>
      <c r="AX37" s="71"/>
      <c r="AY37" s="70"/>
      <c r="AZ37" s="71"/>
      <c r="BA37" s="71"/>
      <c r="BB37" s="71"/>
      <c r="BC37" s="28"/>
      <c r="BD37" s="28"/>
      <c r="BE37" s="28"/>
      <c r="BF37" s="28"/>
    </row>
    <row r="38" spans="1:58" ht="15" customHeight="1">
      <c r="A38" s="423" t="s">
        <v>37</v>
      </c>
      <c r="B38" s="133" t="s">
        <v>15</v>
      </c>
      <c r="C38" s="134"/>
      <c r="D38" s="222" t="s">
        <v>33</v>
      </c>
      <c r="E38" s="120"/>
      <c r="F38" s="65"/>
      <c r="G38" s="58"/>
      <c r="H38" s="65"/>
      <c r="I38" s="65"/>
      <c r="J38" s="65"/>
      <c r="K38" s="65"/>
      <c r="P38" s="65"/>
      <c r="Q38" s="81"/>
      <c r="R38" s="81"/>
      <c r="S38" s="81"/>
      <c r="T38" s="81"/>
      <c r="U38" s="81"/>
      <c r="V38" s="81"/>
      <c r="W38" s="81"/>
      <c r="X38" s="81"/>
      <c r="Y38" s="81"/>
      <c r="Z38" s="58"/>
      <c r="AA38" s="81"/>
      <c r="AB38" s="65"/>
      <c r="AC38" s="65"/>
      <c r="AD38" s="65"/>
      <c r="AE38" s="81"/>
      <c r="AF38" s="81"/>
      <c r="AG38" s="81"/>
      <c r="AH38" s="58"/>
      <c r="AI38" s="81"/>
      <c r="AJ38" s="65"/>
      <c r="AK38" s="65"/>
      <c r="AL38" s="65"/>
      <c r="AM38" s="81"/>
      <c r="AN38" s="81"/>
      <c r="AO38" s="81"/>
      <c r="AP38" s="58"/>
      <c r="AQ38" s="81"/>
      <c r="AR38" s="65"/>
      <c r="AS38" s="65"/>
      <c r="AT38" s="65"/>
      <c r="AU38" s="81"/>
      <c r="AV38" s="81"/>
      <c r="AW38" s="81"/>
      <c r="AX38" s="58"/>
      <c r="AY38" s="81"/>
      <c r="AZ38" s="65"/>
      <c r="BA38" s="65"/>
      <c r="BB38" s="65"/>
      <c r="BC38" s="28"/>
      <c r="BD38" s="28"/>
      <c r="BE38" s="28"/>
      <c r="BF38" s="28"/>
    </row>
    <row r="39" spans="1:58" ht="15" customHeight="1">
      <c r="A39" s="421" t="s">
        <v>38</v>
      </c>
      <c r="B39" s="97" t="s">
        <v>17</v>
      </c>
      <c r="C39" s="105" t="s">
        <v>18</v>
      </c>
      <c r="D39" s="131">
        <v>70</v>
      </c>
      <c r="E39" s="120"/>
      <c r="F39" s="71"/>
      <c r="G39" s="70"/>
      <c r="H39" s="70"/>
      <c r="I39" s="82"/>
      <c r="J39" s="70"/>
      <c r="K39" s="70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70"/>
      <c r="AA39" s="59"/>
      <c r="AB39" s="82"/>
      <c r="AC39" s="70"/>
      <c r="AD39" s="70"/>
      <c r="AE39" s="59"/>
      <c r="AF39" s="59"/>
      <c r="AG39" s="59"/>
      <c r="AH39" s="70"/>
      <c r="AI39" s="59"/>
      <c r="AJ39" s="82"/>
      <c r="AK39" s="70"/>
      <c r="AL39" s="70"/>
      <c r="AM39" s="59"/>
      <c r="AN39" s="59"/>
      <c r="AO39" s="59"/>
      <c r="AP39" s="70"/>
      <c r="AQ39" s="59"/>
      <c r="AR39" s="82"/>
      <c r="AS39" s="70"/>
      <c r="AT39" s="70"/>
      <c r="AU39" s="59"/>
      <c r="AV39" s="59"/>
      <c r="AW39" s="59"/>
      <c r="AX39" s="70"/>
      <c r="AY39" s="59"/>
      <c r="AZ39" s="82"/>
      <c r="BA39" s="70"/>
      <c r="BB39" s="70"/>
      <c r="BC39" s="28"/>
      <c r="BD39" s="28"/>
      <c r="BE39" s="28"/>
      <c r="BF39" s="28"/>
    </row>
    <row r="40" spans="1:58" ht="15" customHeight="1">
      <c r="A40" s="424"/>
      <c r="B40" s="103" t="s">
        <v>19</v>
      </c>
      <c r="C40" s="106" t="s">
        <v>20</v>
      </c>
      <c r="D40" s="128">
        <v>0</v>
      </c>
      <c r="E40" s="120"/>
      <c r="F40" s="83"/>
      <c r="G40" s="68"/>
      <c r="H40" s="61"/>
      <c r="I40" s="59"/>
      <c r="J40" s="77"/>
      <c r="K40" s="77"/>
      <c r="L40" s="77"/>
      <c r="M40" s="77"/>
      <c r="N40" s="77"/>
      <c r="X40" s="58"/>
      <c r="Z40" s="68"/>
      <c r="AA40" s="58"/>
      <c r="AB40" s="59"/>
      <c r="AC40" s="63"/>
      <c r="AD40" s="59"/>
      <c r="AF40" s="58"/>
      <c r="AH40" s="68"/>
      <c r="AI40" s="58"/>
      <c r="AJ40" s="59"/>
      <c r="AK40" s="63"/>
      <c r="AL40" s="59"/>
      <c r="AN40" s="58"/>
      <c r="AP40" s="68"/>
      <c r="AQ40" s="58"/>
      <c r="AR40" s="59"/>
      <c r="AS40" s="63"/>
      <c r="AT40" s="59"/>
      <c r="AV40" s="58"/>
      <c r="AX40" s="68"/>
      <c r="AY40" s="58"/>
      <c r="AZ40" s="59"/>
      <c r="BA40" s="63"/>
      <c r="BB40" s="59"/>
      <c r="BC40" s="28"/>
      <c r="BD40" s="28"/>
      <c r="BE40" s="28"/>
      <c r="BF40" s="28"/>
    </row>
    <row r="41" spans="1:58" ht="15" customHeight="1">
      <c r="A41" s="424"/>
      <c r="B41" s="104" t="s">
        <v>21</v>
      </c>
      <c r="C41" s="107"/>
      <c r="D41" s="38">
        <f>INDEX(Z_data,MATCH(D38,material,0))</f>
        <v>13</v>
      </c>
      <c r="E41" s="120"/>
      <c r="F41" s="58"/>
      <c r="G41" s="58"/>
      <c r="H41" s="58"/>
      <c r="I41" s="58"/>
      <c r="J41" s="77"/>
      <c r="K41" s="77"/>
      <c r="L41" s="77"/>
      <c r="M41" s="77"/>
      <c r="N41" s="77"/>
      <c r="O41" s="59"/>
      <c r="X41" s="58"/>
      <c r="Z41" s="58"/>
      <c r="AA41" s="58"/>
      <c r="AF41" s="58"/>
      <c r="AH41" s="58"/>
      <c r="AI41" s="58"/>
      <c r="AN41" s="58"/>
      <c r="AP41" s="58"/>
      <c r="AQ41" s="58"/>
      <c r="AV41" s="58"/>
      <c r="AX41" s="58"/>
      <c r="AY41" s="58"/>
      <c r="BA41" s="58"/>
      <c r="BC41" s="28"/>
      <c r="BD41" s="28"/>
      <c r="BE41" s="28"/>
      <c r="BF41" s="28"/>
    </row>
    <row r="42" spans="1:58" ht="15" customHeight="1">
      <c r="A42" s="425" t="b">
        <v>1</v>
      </c>
      <c r="B42" s="104" t="s">
        <v>22</v>
      </c>
      <c r="C42" s="107"/>
      <c r="D42" s="38">
        <f>INDEX(A_data,MATCH(D38,material,0))</f>
        <v>27</v>
      </c>
      <c r="E42" s="120"/>
      <c r="F42" s="58"/>
      <c r="G42" s="58"/>
      <c r="H42" s="58"/>
      <c r="I42" s="58"/>
      <c r="J42" s="77"/>
      <c r="K42" s="77"/>
      <c r="L42" s="77"/>
      <c r="M42" s="77"/>
      <c r="N42" s="77"/>
      <c r="X42" s="58"/>
      <c r="Z42" s="58"/>
      <c r="AA42" s="58"/>
      <c r="AF42" s="58"/>
      <c r="AH42" s="58"/>
      <c r="AI42" s="58"/>
      <c r="AN42" s="58"/>
      <c r="AP42" s="58"/>
      <c r="AQ42" s="58"/>
      <c r="AV42" s="58"/>
      <c r="AX42" s="58"/>
      <c r="AY42" s="58"/>
      <c r="BA42" s="58"/>
      <c r="BC42" s="28"/>
      <c r="BD42" s="28"/>
      <c r="BE42" s="28"/>
      <c r="BF42" s="28"/>
    </row>
    <row r="43" spans="1:58" ht="15" customHeight="1">
      <c r="A43" s="431" t="s">
        <v>39</v>
      </c>
      <c r="B43" s="103" t="s">
        <v>15</v>
      </c>
      <c r="C43" s="106"/>
      <c r="D43" s="222" t="s">
        <v>35</v>
      </c>
      <c r="E43" s="120"/>
      <c r="F43" s="58"/>
      <c r="G43" s="58"/>
      <c r="H43" s="59"/>
      <c r="I43" s="62"/>
      <c r="J43" s="77"/>
      <c r="K43" s="77"/>
      <c r="L43" s="77"/>
      <c r="M43" s="77"/>
      <c r="N43" s="77"/>
      <c r="X43" s="58"/>
      <c r="Z43" s="58"/>
      <c r="AA43" s="58"/>
      <c r="AF43" s="58"/>
      <c r="AH43" s="58"/>
      <c r="AI43" s="58"/>
      <c r="AN43" s="58"/>
      <c r="AP43" s="58"/>
      <c r="AQ43" s="58"/>
      <c r="AV43" s="58"/>
      <c r="AX43" s="58"/>
      <c r="AY43" s="58"/>
      <c r="BA43" s="58"/>
      <c r="BC43" s="28"/>
      <c r="BD43" s="28"/>
      <c r="BE43" s="28"/>
      <c r="BF43" s="28"/>
    </row>
    <row r="44" spans="1:58" ht="15" customHeight="1">
      <c r="A44" s="432" t="s">
        <v>38</v>
      </c>
      <c r="B44" s="103" t="s">
        <v>17</v>
      </c>
      <c r="C44" s="106" t="s">
        <v>18</v>
      </c>
      <c r="D44" s="131">
        <v>70</v>
      </c>
      <c r="E44" s="120"/>
      <c r="F44" s="58"/>
      <c r="G44" s="58"/>
      <c r="H44" s="59"/>
      <c r="I44" s="62"/>
      <c r="J44" s="77"/>
      <c r="K44" s="77"/>
      <c r="L44" s="77"/>
      <c r="M44" s="77"/>
      <c r="N44" s="77"/>
      <c r="X44" s="58"/>
      <c r="Z44" s="58"/>
      <c r="AA44" s="58"/>
      <c r="AF44" s="58"/>
      <c r="AH44" s="58"/>
      <c r="AI44" s="58"/>
      <c r="AN44" s="58"/>
      <c r="AP44" s="58"/>
      <c r="AQ44" s="58"/>
      <c r="AV44" s="58"/>
      <c r="AX44" s="58"/>
      <c r="AY44" s="58"/>
      <c r="BA44" s="58"/>
      <c r="BC44" s="28"/>
      <c r="BD44" s="28"/>
      <c r="BE44" s="28"/>
      <c r="BF44" s="28"/>
    </row>
    <row r="45" spans="1:58" ht="15" customHeight="1">
      <c r="A45" s="433"/>
      <c r="B45" s="103" t="s">
        <v>19</v>
      </c>
      <c r="C45" s="106" t="s">
        <v>20</v>
      </c>
      <c r="D45" s="128">
        <v>0.88900000000000001</v>
      </c>
      <c r="E45" s="120"/>
      <c r="F45" s="58"/>
      <c r="G45" s="72"/>
      <c r="H45" s="59"/>
      <c r="I45" s="62"/>
      <c r="J45" s="59"/>
      <c r="K45" s="59"/>
      <c r="L45" s="59"/>
      <c r="M45" s="59"/>
      <c r="N45" s="59"/>
      <c r="O45" s="59"/>
      <c r="X45" s="58"/>
      <c r="Z45" s="72"/>
      <c r="AA45" s="58"/>
      <c r="AB45" s="68"/>
      <c r="AF45" s="58"/>
      <c r="AH45" s="72"/>
      <c r="AI45" s="58"/>
      <c r="AJ45" s="68"/>
      <c r="AN45" s="58"/>
      <c r="AP45" s="72"/>
      <c r="AQ45" s="58"/>
      <c r="AR45" s="68"/>
      <c r="AV45" s="58"/>
      <c r="AX45" s="72"/>
      <c r="AY45" s="58"/>
      <c r="AZ45" s="68"/>
      <c r="BA45" s="58"/>
      <c r="BC45" s="28"/>
      <c r="BD45" s="28"/>
      <c r="BE45" s="28"/>
      <c r="BF45" s="28"/>
    </row>
    <row r="46" spans="1:58" ht="15" customHeight="1">
      <c r="A46" s="433"/>
      <c r="B46" s="104" t="s">
        <v>21</v>
      </c>
      <c r="C46" s="107"/>
      <c r="D46" s="38">
        <f>INDEX(Z_data,MATCH(D43,[0]!material,0))</f>
        <v>4</v>
      </c>
      <c r="E46" s="120"/>
      <c r="F46" s="59"/>
      <c r="G46" s="70"/>
      <c r="H46" s="59"/>
      <c r="I46" s="62"/>
      <c r="J46" s="59"/>
      <c r="K46" s="59"/>
      <c r="L46" s="59"/>
      <c r="M46" s="59"/>
      <c r="N46" s="59"/>
      <c r="O46" s="59"/>
      <c r="P46" s="59"/>
      <c r="Q46" s="59"/>
      <c r="X46" s="58"/>
      <c r="Z46" s="70"/>
      <c r="AA46" s="58"/>
      <c r="AB46" s="59"/>
      <c r="AC46" s="59"/>
      <c r="AD46" s="59"/>
      <c r="AF46" s="58"/>
      <c r="AH46" s="70"/>
      <c r="AI46" s="58"/>
      <c r="AJ46" s="59"/>
      <c r="AK46" s="59"/>
      <c r="AL46" s="59"/>
      <c r="AN46" s="58"/>
      <c r="AP46" s="70"/>
      <c r="AQ46" s="58"/>
      <c r="AR46" s="59"/>
      <c r="AS46" s="59"/>
      <c r="AT46" s="59"/>
      <c r="AV46" s="58"/>
      <c r="AX46" s="70"/>
      <c r="AY46" s="58"/>
      <c r="AZ46" s="59"/>
      <c r="BA46" s="59"/>
      <c r="BB46" s="59"/>
      <c r="BC46" s="28"/>
      <c r="BD46" s="28"/>
      <c r="BE46" s="28"/>
      <c r="BF46" s="28"/>
    </row>
    <row r="47" spans="1:58" ht="15" customHeight="1">
      <c r="A47" s="434" t="b">
        <v>1</v>
      </c>
      <c r="B47" s="104" t="s">
        <v>22</v>
      </c>
      <c r="C47" s="107"/>
      <c r="D47" s="38">
        <f>INDEX(A_data,MATCH(D43,[0]!material,0))</f>
        <v>9</v>
      </c>
      <c r="E47" s="120"/>
      <c r="F47" s="58"/>
      <c r="G47" s="70"/>
      <c r="H47" s="59"/>
      <c r="I47" s="62"/>
      <c r="J47" s="59"/>
      <c r="K47" s="59"/>
      <c r="L47" s="59"/>
      <c r="M47" s="59"/>
      <c r="N47" s="59"/>
      <c r="O47" s="59"/>
      <c r="X47" s="58"/>
      <c r="Z47" s="70"/>
      <c r="AA47" s="58"/>
      <c r="AF47" s="58"/>
      <c r="AH47" s="70"/>
      <c r="AI47" s="58"/>
      <c r="AN47" s="58"/>
      <c r="AP47" s="70"/>
      <c r="AQ47" s="58"/>
      <c r="AV47" s="58"/>
      <c r="AX47" s="70"/>
      <c r="AY47" s="58"/>
      <c r="BA47" s="58"/>
      <c r="BC47" s="28"/>
      <c r="BD47" s="28"/>
      <c r="BE47" s="28"/>
      <c r="BF47" s="28"/>
    </row>
    <row r="48" spans="1:58" ht="15" customHeight="1">
      <c r="A48" s="431" t="s">
        <v>40</v>
      </c>
      <c r="B48" s="104" t="s">
        <v>15</v>
      </c>
      <c r="C48" s="107"/>
      <c r="D48" s="221" t="s">
        <v>41</v>
      </c>
      <c r="E48" s="120"/>
      <c r="F48" s="58"/>
      <c r="G48" s="77"/>
      <c r="H48" s="77"/>
      <c r="I48" s="77"/>
      <c r="J48" s="77"/>
      <c r="K48" s="77"/>
      <c r="L48" s="59"/>
      <c r="M48" s="59"/>
      <c r="N48" s="59"/>
      <c r="O48" s="59"/>
      <c r="X48" s="58"/>
      <c r="Z48" s="58"/>
      <c r="AA48" s="58"/>
      <c r="AF48" s="58"/>
      <c r="AH48" s="58"/>
      <c r="AI48" s="58"/>
      <c r="AN48" s="58"/>
      <c r="AP48" s="58"/>
      <c r="AQ48" s="58"/>
      <c r="AV48" s="58"/>
      <c r="AX48" s="58"/>
      <c r="AY48" s="58"/>
      <c r="BA48" s="58"/>
      <c r="BC48" s="28"/>
      <c r="BD48" s="28"/>
      <c r="BE48" s="28"/>
      <c r="BF48" s="28"/>
    </row>
    <row r="49" spans="1:58" ht="15" customHeight="1">
      <c r="A49" s="432" t="s">
        <v>42</v>
      </c>
      <c r="B49" s="103" t="s">
        <v>17</v>
      </c>
      <c r="C49" s="106" t="s">
        <v>18</v>
      </c>
      <c r="D49" s="130">
        <v>212</v>
      </c>
      <c r="E49" s="120"/>
      <c r="F49" s="58"/>
      <c r="G49" s="77"/>
      <c r="H49" s="77"/>
      <c r="I49" s="77"/>
      <c r="J49" s="77"/>
      <c r="K49" s="77"/>
      <c r="L49" s="59"/>
      <c r="M49" s="59"/>
      <c r="N49" s="59"/>
      <c r="O49" s="59"/>
      <c r="X49" s="58"/>
      <c r="Z49" s="58"/>
      <c r="AA49" s="58"/>
      <c r="AF49" s="58"/>
      <c r="AH49" s="58"/>
      <c r="AI49" s="58"/>
      <c r="AN49" s="58"/>
      <c r="AP49" s="58"/>
      <c r="AQ49" s="58"/>
      <c r="AV49" s="58"/>
      <c r="AX49" s="58"/>
      <c r="AY49" s="58"/>
      <c r="BA49" s="58"/>
      <c r="BC49" s="28"/>
      <c r="BD49" s="28"/>
      <c r="BE49" s="28"/>
      <c r="BF49" s="28"/>
    </row>
    <row r="50" spans="1:58" ht="15" customHeight="1">
      <c r="A50" s="433"/>
      <c r="B50" s="103" t="s">
        <v>19</v>
      </c>
      <c r="C50" s="106" t="s">
        <v>20</v>
      </c>
      <c r="D50" s="128">
        <v>6.8449999999999998</v>
      </c>
      <c r="E50" s="120"/>
      <c r="F50" s="59"/>
      <c r="G50" s="77"/>
      <c r="H50" s="77"/>
      <c r="I50" s="77"/>
      <c r="J50" s="77"/>
      <c r="K50" s="77"/>
      <c r="L50" s="59"/>
      <c r="M50" s="59"/>
      <c r="N50" s="59"/>
      <c r="O50" s="59"/>
      <c r="P50" s="59"/>
      <c r="Q50" s="59"/>
      <c r="R50" s="59"/>
      <c r="X50" s="58"/>
      <c r="Z50" s="58"/>
      <c r="AA50" s="58"/>
      <c r="AB50" s="59"/>
      <c r="AC50" s="59"/>
      <c r="AD50" s="59"/>
      <c r="AF50" s="58"/>
      <c r="AH50" s="58"/>
      <c r="AI50" s="58"/>
      <c r="AJ50" s="59"/>
      <c r="AK50" s="59"/>
      <c r="AL50" s="59"/>
      <c r="AN50" s="58"/>
      <c r="AP50" s="58"/>
      <c r="AQ50" s="58"/>
      <c r="AR50" s="59"/>
      <c r="AS50" s="59"/>
      <c r="AT50" s="59"/>
      <c r="AV50" s="58"/>
      <c r="AX50" s="58"/>
      <c r="AY50" s="58"/>
      <c r="AZ50" s="59"/>
      <c r="BA50" s="59"/>
      <c r="BB50" s="59"/>
      <c r="BC50" s="28"/>
      <c r="BD50" s="28"/>
      <c r="BE50" s="28"/>
      <c r="BF50" s="28"/>
    </row>
    <row r="51" spans="1:58" ht="15" customHeight="1">
      <c r="A51" s="433" t="s">
        <v>43</v>
      </c>
      <c r="B51" s="104" t="s">
        <v>21</v>
      </c>
      <c r="C51" s="107"/>
      <c r="D51" s="38">
        <f>INDEX(Z_data,MATCH(D48,[0]!material,0))</f>
        <v>2</v>
      </c>
      <c r="E51" s="120"/>
      <c r="F51" s="59"/>
      <c r="G51" s="77"/>
      <c r="H51" s="77"/>
      <c r="I51" s="77"/>
      <c r="J51" s="77"/>
      <c r="K51" s="77"/>
      <c r="L51" s="59"/>
      <c r="M51" s="59"/>
      <c r="N51" s="59"/>
      <c r="O51" s="59"/>
      <c r="P51" s="59"/>
      <c r="Q51" s="59"/>
      <c r="R51" s="59"/>
      <c r="X51" s="58"/>
      <c r="Z51" s="58"/>
      <c r="AA51" s="58"/>
      <c r="AB51" s="59"/>
      <c r="AC51" s="59"/>
      <c r="AD51" s="59"/>
      <c r="AF51" s="58"/>
      <c r="AH51" s="58"/>
      <c r="AI51" s="58"/>
      <c r="AJ51" s="59"/>
      <c r="AK51" s="59"/>
      <c r="AL51" s="59"/>
      <c r="AN51" s="58"/>
      <c r="AP51" s="58"/>
      <c r="AQ51" s="58"/>
      <c r="AR51" s="59"/>
      <c r="AS51" s="59"/>
      <c r="AT51" s="59"/>
      <c r="AV51" s="58"/>
      <c r="AX51" s="58"/>
      <c r="AY51" s="58"/>
      <c r="AZ51" s="59"/>
      <c r="BA51" s="59"/>
      <c r="BB51" s="59"/>
      <c r="BC51" s="28"/>
      <c r="BD51" s="28"/>
      <c r="BE51" s="28"/>
      <c r="BF51" s="28"/>
    </row>
    <row r="52" spans="1:58" ht="15" customHeight="1">
      <c r="A52" s="434" t="b">
        <v>1</v>
      </c>
      <c r="B52" s="104" t="s">
        <v>22</v>
      </c>
      <c r="C52" s="107"/>
      <c r="D52" s="38">
        <f>INDEX(A_data,MATCH(D48,[0]!material,0))</f>
        <v>4</v>
      </c>
      <c r="E52" s="120"/>
      <c r="F52" s="59"/>
      <c r="G52" s="77"/>
      <c r="H52" s="77"/>
      <c r="I52" s="77"/>
      <c r="J52" s="77"/>
      <c r="K52" s="77"/>
      <c r="L52" s="59"/>
      <c r="M52" s="59"/>
      <c r="N52" s="59"/>
      <c r="O52" s="59"/>
      <c r="P52" s="59"/>
      <c r="Q52" s="59"/>
      <c r="R52" s="59"/>
      <c r="X52" s="58"/>
      <c r="Z52" s="58"/>
      <c r="AA52" s="58"/>
      <c r="AB52" s="59"/>
      <c r="AC52" s="59"/>
      <c r="AD52" s="59"/>
      <c r="AF52" s="58"/>
      <c r="AH52" s="58"/>
      <c r="AI52" s="58"/>
      <c r="AJ52" s="59"/>
      <c r="AK52" s="59"/>
      <c r="AL52" s="59"/>
      <c r="AN52" s="58"/>
      <c r="AP52" s="58"/>
      <c r="AQ52" s="58"/>
      <c r="AR52" s="59"/>
      <c r="AS52" s="59"/>
      <c r="AT52" s="59"/>
      <c r="AV52" s="58"/>
      <c r="AX52" s="58"/>
      <c r="AY52" s="58"/>
      <c r="AZ52" s="59"/>
      <c r="BA52" s="59"/>
      <c r="BB52" s="59"/>
      <c r="BC52" s="28"/>
      <c r="BD52" s="28"/>
      <c r="BE52" s="28"/>
      <c r="BF52" s="28"/>
    </row>
    <row r="53" spans="1:58" ht="15" customHeight="1">
      <c r="A53" s="423" t="s">
        <v>44</v>
      </c>
      <c r="B53" s="133" t="s">
        <v>15</v>
      </c>
      <c r="C53" s="134"/>
      <c r="D53" s="221" t="s">
        <v>41</v>
      </c>
      <c r="E53" s="120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X53" s="58"/>
      <c r="Z53" s="59"/>
      <c r="AA53" s="58"/>
      <c r="AB53" s="59"/>
      <c r="AC53" s="59"/>
      <c r="AD53" s="59"/>
      <c r="AF53" s="58"/>
      <c r="AH53" s="59"/>
      <c r="AI53" s="58"/>
      <c r="AJ53" s="59"/>
      <c r="AK53" s="59"/>
      <c r="AL53" s="59"/>
      <c r="AN53" s="58"/>
      <c r="AP53" s="59"/>
      <c r="AQ53" s="58"/>
      <c r="AR53" s="59"/>
      <c r="AS53" s="59"/>
      <c r="AT53" s="59"/>
      <c r="AV53" s="58"/>
      <c r="AX53" s="59"/>
      <c r="AY53" s="58"/>
      <c r="AZ53" s="59"/>
      <c r="BA53" s="59"/>
      <c r="BB53" s="59"/>
      <c r="BC53" s="28"/>
      <c r="BD53" s="28"/>
      <c r="BE53" s="28"/>
      <c r="BF53" s="28"/>
    </row>
    <row r="54" spans="1:58" ht="15" customHeight="1">
      <c r="A54" s="421" t="s">
        <v>27</v>
      </c>
      <c r="B54" s="97" t="s">
        <v>17</v>
      </c>
      <c r="C54" s="105" t="s">
        <v>18</v>
      </c>
      <c r="D54" s="129">
        <v>230</v>
      </c>
      <c r="E54" s="120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X54" s="58"/>
      <c r="Z54" s="59"/>
      <c r="AA54" s="58"/>
      <c r="AB54" s="59"/>
      <c r="AC54" s="59"/>
      <c r="AD54" s="59"/>
      <c r="AF54" s="58"/>
      <c r="AH54" s="59"/>
      <c r="AI54" s="58"/>
      <c r="AJ54" s="59"/>
      <c r="AK54" s="59"/>
      <c r="AL54" s="59"/>
      <c r="AN54" s="58"/>
      <c r="AP54" s="59"/>
      <c r="AQ54" s="58"/>
      <c r="AR54" s="59"/>
      <c r="AS54" s="59"/>
      <c r="AT54" s="59"/>
      <c r="AV54" s="58"/>
      <c r="AX54" s="59"/>
      <c r="AY54" s="58"/>
      <c r="AZ54" s="59"/>
      <c r="BA54" s="59"/>
      <c r="BB54" s="59"/>
      <c r="BC54" s="28"/>
      <c r="BD54" s="28"/>
      <c r="BE54" s="28"/>
      <c r="BF54" s="28"/>
    </row>
    <row r="55" spans="1:58" ht="15" customHeight="1">
      <c r="A55" s="424"/>
      <c r="B55" s="103" t="s">
        <v>19</v>
      </c>
      <c r="C55" s="106" t="s">
        <v>20</v>
      </c>
      <c r="D55" s="43" t="s">
        <v>45</v>
      </c>
      <c r="E55" s="120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X55" s="58"/>
      <c r="Z55" s="59"/>
      <c r="AA55" s="58"/>
      <c r="AB55" s="59"/>
      <c r="AC55" s="59"/>
      <c r="AD55" s="59"/>
      <c r="AF55" s="58"/>
      <c r="AH55" s="59"/>
      <c r="AI55" s="58"/>
      <c r="AJ55" s="59"/>
      <c r="AK55" s="59"/>
      <c r="AL55" s="59"/>
      <c r="AN55" s="58"/>
      <c r="AP55" s="59"/>
      <c r="AQ55" s="58"/>
      <c r="AR55" s="59"/>
      <c r="AS55" s="59"/>
      <c r="AT55" s="59"/>
      <c r="AV55" s="58"/>
      <c r="AX55" s="59"/>
      <c r="AY55" s="58"/>
      <c r="AZ55" s="59"/>
      <c r="BA55" s="59"/>
      <c r="BB55" s="59"/>
      <c r="BC55" s="28"/>
      <c r="BD55" s="28"/>
      <c r="BE55" s="28"/>
      <c r="BF55" s="28"/>
    </row>
    <row r="56" spans="1:58" ht="15" customHeight="1">
      <c r="A56" s="424"/>
      <c r="B56" s="104" t="s">
        <v>21</v>
      </c>
      <c r="C56" s="107"/>
      <c r="D56" s="38">
        <f>INDEX(Z_data,MATCH(D53,[0]!material,0))</f>
        <v>2</v>
      </c>
      <c r="E56" s="120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X56" s="58"/>
      <c r="Z56" s="59"/>
      <c r="AA56" s="58"/>
      <c r="AB56" s="59"/>
      <c r="AC56" s="59"/>
      <c r="AD56" s="59"/>
      <c r="AF56" s="58"/>
      <c r="AH56" s="59"/>
      <c r="AI56" s="58"/>
      <c r="AJ56" s="59"/>
      <c r="AK56" s="59"/>
      <c r="AL56" s="59"/>
      <c r="AN56" s="58"/>
      <c r="AP56" s="59"/>
      <c r="AQ56" s="58"/>
      <c r="AR56" s="59"/>
      <c r="AS56" s="59"/>
      <c r="AT56" s="59"/>
      <c r="AV56" s="58"/>
      <c r="AX56" s="59"/>
      <c r="AY56" s="58"/>
      <c r="AZ56" s="59"/>
      <c r="BA56" s="59"/>
      <c r="BB56" s="59"/>
      <c r="BC56" s="28"/>
      <c r="BD56" s="28"/>
      <c r="BE56" s="28"/>
      <c r="BF56" s="28"/>
    </row>
    <row r="57" spans="1:58" ht="15" customHeight="1">
      <c r="A57" s="425" t="b">
        <v>0</v>
      </c>
      <c r="B57" s="104" t="s">
        <v>22</v>
      </c>
      <c r="C57" s="107"/>
      <c r="D57" s="38">
        <f>INDEX(A_data,MATCH(D53,[0]!material,0))</f>
        <v>4</v>
      </c>
      <c r="E57" s="120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X57" s="58"/>
      <c r="Z57" s="59"/>
      <c r="AA57" s="58"/>
      <c r="AB57" s="59"/>
      <c r="AC57" s="59"/>
      <c r="AD57" s="59"/>
      <c r="AF57" s="58"/>
      <c r="AH57" s="59"/>
      <c r="AI57" s="58"/>
      <c r="AJ57" s="59"/>
      <c r="AK57" s="59"/>
      <c r="AL57" s="59"/>
      <c r="AN57" s="58"/>
      <c r="AP57" s="59"/>
      <c r="AQ57" s="58"/>
      <c r="AR57" s="59"/>
      <c r="AS57" s="59"/>
      <c r="AT57" s="59"/>
      <c r="AV57" s="58"/>
      <c r="AX57" s="59"/>
      <c r="AY57" s="58"/>
      <c r="AZ57" s="59"/>
      <c r="BA57" s="59"/>
      <c r="BB57" s="59"/>
      <c r="BC57" s="28"/>
      <c r="BD57" s="28"/>
      <c r="BE57" s="28"/>
      <c r="BF57" s="28"/>
    </row>
    <row r="58" spans="1:58" ht="15" customHeight="1">
      <c r="A58" s="431" t="s">
        <v>40</v>
      </c>
      <c r="B58" s="104" t="s">
        <v>15</v>
      </c>
      <c r="C58" s="107"/>
      <c r="D58" s="221" t="s">
        <v>41</v>
      </c>
      <c r="E58" s="120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X58" s="58"/>
      <c r="Z58" s="59"/>
      <c r="AA58" s="58"/>
      <c r="AB58" s="59"/>
      <c r="AC58" s="59"/>
      <c r="AD58" s="59"/>
      <c r="AF58" s="58"/>
      <c r="AH58" s="59"/>
      <c r="AI58" s="58"/>
      <c r="AJ58" s="59"/>
      <c r="AK58" s="59"/>
      <c r="AL58" s="59"/>
      <c r="AN58" s="58"/>
      <c r="AP58" s="59"/>
      <c r="AQ58" s="58"/>
      <c r="AR58" s="59"/>
      <c r="AS58" s="59"/>
      <c r="AT58" s="59"/>
      <c r="AV58" s="58"/>
      <c r="AX58" s="59"/>
      <c r="AY58" s="58"/>
      <c r="AZ58" s="59"/>
      <c r="BA58" s="59"/>
      <c r="BB58" s="59"/>
      <c r="BC58" s="28"/>
      <c r="BD58" s="28"/>
      <c r="BE58" s="28"/>
      <c r="BF58" s="28"/>
    </row>
    <row r="59" spans="1:58" ht="15" customHeight="1">
      <c r="A59" s="432" t="s">
        <v>44</v>
      </c>
      <c r="B59" s="103" t="s">
        <v>17</v>
      </c>
      <c r="C59" s="106" t="s">
        <v>18</v>
      </c>
      <c r="D59" s="131">
        <v>230</v>
      </c>
      <c r="E59" s="120"/>
      <c r="F59" s="59"/>
      <c r="G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X59" s="58"/>
      <c r="Z59" s="59"/>
      <c r="AA59" s="58"/>
      <c r="AB59" s="59"/>
      <c r="AC59" s="59"/>
      <c r="AD59" s="59"/>
      <c r="AF59" s="58"/>
      <c r="AH59" s="59"/>
      <c r="AI59" s="58"/>
      <c r="AJ59" s="59"/>
      <c r="AK59" s="59"/>
      <c r="AL59" s="59"/>
      <c r="AN59" s="58"/>
      <c r="AP59" s="59"/>
      <c r="AQ59" s="58"/>
      <c r="AR59" s="59"/>
      <c r="AS59" s="59"/>
      <c r="AT59" s="59"/>
      <c r="AV59" s="58"/>
      <c r="AX59" s="59"/>
      <c r="AY59" s="58"/>
      <c r="AZ59" s="59"/>
      <c r="BA59" s="59"/>
      <c r="BB59" s="59"/>
      <c r="BC59" s="28"/>
      <c r="BD59" s="28"/>
      <c r="BE59" s="28"/>
      <c r="BF59" s="28"/>
    </row>
    <row r="60" spans="1:58" ht="15" customHeight="1">
      <c r="A60" s="435"/>
      <c r="B60" s="103" t="s">
        <v>19</v>
      </c>
      <c r="C60" s="106" t="s">
        <v>20</v>
      </c>
      <c r="D60" s="43" t="s">
        <v>45</v>
      </c>
      <c r="E60" s="120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X60" s="58"/>
      <c r="Z60" s="59"/>
      <c r="AA60" s="58"/>
      <c r="AB60" s="59"/>
      <c r="AC60" s="59"/>
      <c r="AD60" s="59"/>
      <c r="AF60" s="58"/>
      <c r="AH60" s="59"/>
      <c r="AI60" s="58"/>
      <c r="AJ60" s="59"/>
      <c r="AK60" s="59"/>
      <c r="AL60" s="59"/>
      <c r="AN60" s="58"/>
      <c r="AP60" s="59"/>
      <c r="AQ60" s="58"/>
      <c r="AR60" s="59"/>
      <c r="AS60" s="59"/>
      <c r="AT60" s="59"/>
      <c r="AV60" s="58"/>
      <c r="AX60" s="59"/>
      <c r="AY60" s="58"/>
      <c r="AZ60" s="59"/>
      <c r="BA60" s="59"/>
      <c r="BB60" s="59"/>
      <c r="BC60" s="28"/>
      <c r="BD60" s="28"/>
      <c r="BE60" s="28"/>
      <c r="BF60" s="28"/>
    </row>
    <row r="61" spans="1:58" ht="15" customHeight="1">
      <c r="A61" s="435" t="s">
        <v>46</v>
      </c>
      <c r="B61" s="104" t="s">
        <v>21</v>
      </c>
      <c r="C61" s="107"/>
      <c r="D61" s="38">
        <f>INDEX(Z_data,MATCH(D58,[0]!material,0))</f>
        <v>2</v>
      </c>
      <c r="E61" s="120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X61" s="58"/>
      <c r="Z61" s="59"/>
      <c r="AA61" s="58"/>
      <c r="AB61" s="59"/>
      <c r="AC61" s="59"/>
      <c r="AD61" s="59"/>
      <c r="AF61" s="58"/>
      <c r="AH61" s="59"/>
      <c r="AI61" s="58"/>
      <c r="AJ61" s="59"/>
      <c r="AK61" s="59"/>
      <c r="AL61" s="59"/>
      <c r="AN61" s="58"/>
      <c r="AP61" s="59"/>
      <c r="AQ61" s="58"/>
      <c r="AR61" s="59"/>
      <c r="AS61" s="59"/>
      <c r="AT61" s="59"/>
      <c r="AV61" s="58"/>
      <c r="AX61" s="59"/>
      <c r="AY61" s="58"/>
      <c r="AZ61" s="59"/>
      <c r="BA61" s="59"/>
      <c r="BB61" s="59"/>
      <c r="BC61" s="28"/>
      <c r="BD61" s="28"/>
      <c r="BE61" s="28"/>
      <c r="BF61" s="28"/>
    </row>
    <row r="62" spans="1:58" ht="15" customHeight="1">
      <c r="A62" s="436" t="b">
        <v>1</v>
      </c>
      <c r="B62" s="104" t="s">
        <v>22</v>
      </c>
      <c r="C62" s="107"/>
      <c r="D62" s="38">
        <f>INDEX(A_data,MATCH(D58,[0]!material,0))</f>
        <v>4</v>
      </c>
      <c r="E62" s="120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X62" s="58"/>
      <c r="Z62" s="59"/>
      <c r="AA62" s="58"/>
      <c r="AB62" s="59"/>
      <c r="AC62" s="59"/>
      <c r="AD62" s="59"/>
      <c r="AF62" s="58"/>
      <c r="AH62" s="59"/>
      <c r="AI62" s="58"/>
      <c r="AJ62" s="59"/>
      <c r="AK62" s="59"/>
      <c r="AL62" s="59"/>
      <c r="AN62" s="58"/>
      <c r="AP62" s="59"/>
      <c r="AQ62" s="58"/>
      <c r="AR62" s="59"/>
      <c r="AS62" s="59"/>
      <c r="AT62" s="59"/>
      <c r="AV62" s="58"/>
      <c r="AX62" s="59"/>
      <c r="AY62" s="58"/>
      <c r="AZ62" s="59"/>
      <c r="BA62" s="59"/>
      <c r="BB62" s="59"/>
      <c r="BC62" s="28"/>
      <c r="BD62" s="28"/>
      <c r="BE62" s="28"/>
      <c r="BF62" s="28"/>
    </row>
    <row r="63" spans="1:58" ht="15" customHeight="1">
      <c r="A63" s="437" t="s">
        <v>47</v>
      </c>
      <c r="B63" s="103" t="s">
        <v>48</v>
      </c>
      <c r="C63" s="106" t="s">
        <v>49</v>
      </c>
      <c r="D63" s="86">
        <v>20.32</v>
      </c>
      <c r="E63" s="120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X63" s="58"/>
      <c r="Z63" s="59"/>
      <c r="AA63" s="58"/>
      <c r="AB63" s="59"/>
      <c r="AC63" s="59"/>
      <c r="AD63" s="59"/>
      <c r="AF63" s="58"/>
      <c r="AH63" s="59"/>
      <c r="AI63" s="58"/>
      <c r="AJ63" s="59"/>
      <c r="AK63" s="59"/>
      <c r="AL63" s="59"/>
      <c r="AN63" s="58"/>
      <c r="AP63" s="59"/>
      <c r="AQ63" s="58"/>
      <c r="AR63" s="59"/>
      <c r="AS63" s="59"/>
      <c r="AT63" s="59"/>
      <c r="AV63" s="58"/>
      <c r="AX63" s="59"/>
      <c r="AY63" s="58"/>
      <c r="AZ63" s="59"/>
      <c r="BA63" s="59"/>
      <c r="BB63" s="59"/>
      <c r="BC63" s="28"/>
      <c r="BD63" s="28"/>
      <c r="BE63" s="28"/>
      <c r="BF63" s="28"/>
    </row>
    <row r="64" spans="1:58" ht="15" customHeight="1">
      <c r="A64" s="434" t="s">
        <v>38</v>
      </c>
      <c r="B64" s="104" t="s">
        <v>19</v>
      </c>
      <c r="C64" s="107" t="s">
        <v>20</v>
      </c>
      <c r="D64" s="127">
        <v>13.46</v>
      </c>
      <c r="E64" s="120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X64" s="58"/>
      <c r="Z64" s="59"/>
      <c r="AA64" s="58"/>
      <c r="AB64" s="59"/>
      <c r="AC64" s="59"/>
      <c r="AD64" s="59"/>
      <c r="AF64" s="58"/>
      <c r="AH64" s="59"/>
      <c r="AI64" s="58"/>
      <c r="AJ64" s="59"/>
      <c r="AK64" s="59"/>
      <c r="AL64" s="59"/>
      <c r="AN64" s="58"/>
      <c r="AP64" s="59"/>
      <c r="AQ64" s="58"/>
      <c r="AR64" s="59"/>
      <c r="AS64" s="59"/>
      <c r="AT64" s="59"/>
      <c r="AV64" s="58"/>
      <c r="AX64" s="59"/>
      <c r="AY64" s="58"/>
      <c r="AZ64" s="59"/>
      <c r="BA64" s="59"/>
      <c r="BB64" s="59"/>
      <c r="BC64" s="28"/>
      <c r="BD64" s="28"/>
      <c r="BE64" s="28"/>
      <c r="BF64" s="28"/>
    </row>
    <row r="65" spans="1:58" ht="15" customHeight="1" thickBot="1">
      <c r="A65" s="438" t="s">
        <v>50</v>
      </c>
      <c r="B65" s="197"/>
      <c r="C65" s="196"/>
      <c r="D65" s="37">
        <v>0.5</v>
      </c>
      <c r="E65" s="225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X65" s="58"/>
      <c r="Z65" s="59"/>
      <c r="AA65" s="58"/>
      <c r="AB65" s="59"/>
      <c r="AC65" s="59"/>
      <c r="AD65" s="59"/>
      <c r="AF65" s="58"/>
      <c r="AH65" s="59"/>
      <c r="AI65" s="58"/>
      <c r="AJ65" s="59"/>
      <c r="AK65" s="59"/>
      <c r="AL65" s="59"/>
      <c r="AN65" s="58"/>
      <c r="AP65" s="59"/>
      <c r="AQ65" s="58"/>
      <c r="AR65" s="59"/>
      <c r="AS65" s="59"/>
      <c r="AT65" s="59"/>
      <c r="AV65" s="58"/>
      <c r="AX65" s="59"/>
      <c r="AY65" s="58"/>
      <c r="AZ65" s="59"/>
      <c r="BA65" s="59"/>
      <c r="BB65" s="59"/>
      <c r="BC65" s="28"/>
      <c r="BD65" s="28"/>
      <c r="BE65" s="28"/>
      <c r="BF65" s="28"/>
    </row>
    <row r="66" spans="1:58" ht="15" customHeight="1">
      <c r="A66" s="439"/>
      <c r="B66" s="212" t="s">
        <v>51</v>
      </c>
      <c r="C66" s="108" t="s">
        <v>52</v>
      </c>
      <c r="D66" s="200">
        <v>30</v>
      </c>
      <c r="E66" s="201">
        <f ca="1">SUM(OFFSET(E66,0,-[0]!ng):OFFSET(E66,0,-1))</f>
        <v>30</v>
      </c>
      <c r="F66" s="65"/>
      <c r="G66" s="65"/>
      <c r="H66" s="88"/>
      <c r="I66" s="72"/>
      <c r="J66" s="72"/>
      <c r="K66" s="72"/>
      <c r="L66" s="59"/>
      <c r="M66" s="59"/>
      <c r="N66" s="59"/>
      <c r="O66" s="59"/>
      <c r="P66" s="59"/>
      <c r="Q66" s="59"/>
      <c r="R66" s="59"/>
      <c r="X66" s="58"/>
      <c r="Z66" s="65"/>
      <c r="AA66" s="58"/>
      <c r="AB66" s="72"/>
      <c r="AC66" s="72"/>
      <c r="AD66" s="72"/>
      <c r="AF66" s="58"/>
      <c r="AH66" s="65"/>
      <c r="AI66" s="58"/>
      <c r="AJ66" s="72"/>
      <c r="AK66" s="72"/>
      <c r="AL66" s="72"/>
      <c r="AN66" s="58"/>
      <c r="AP66" s="65"/>
      <c r="AQ66" s="58"/>
      <c r="AR66" s="72"/>
      <c r="AS66" s="72"/>
      <c r="AT66" s="72"/>
      <c r="AV66" s="58"/>
      <c r="AX66" s="65"/>
      <c r="AY66" s="58"/>
      <c r="AZ66" s="72"/>
      <c r="BA66" s="72"/>
      <c r="BB66" s="72"/>
      <c r="BC66" s="28"/>
      <c r="BD66" s="28"/>
      <c r="BE66" s="28"/>
      <c r="BF66" s="28"/>
    </row>
    <row r="67" spans="1:58" ht="15" customHeight="1">
      <c r="A67" s="445" t="s">
        <v>53</v>
      </c>
      <c r="B67" s="211" t="s">
        <v>54</v>
      </c>
      <c r="C67" s="105" t="s">
        <v>55</v>
      </c>
      <c r="D67" s="194">
        <f>D66/24</f>
        <v>1.25</v>
      </c>
      <c r="E67" s="195">
        <f ca="1">E66/24</f>
        <v>1.25</v>
      </c>
      <c r="F67" s="65"/>
      <c r="G67" s="65"/>
      <c r="H67" s="88"/>
      <c r="I67" s="72"/>
      <c r="J67" s="72"/>
      <c r="K67" s="72"/>
      <c r="L67" s="59"/>
      <c r="M67" s="59"/>
      <c r="N67" s="59"/>
      <c r="O67" s="59"/>
      <c r="P67" s="59"/>
      <c r="Q67" s="59"/>
      <c r="R67" s="59"/>
      <c r="X67" s="58"/>
      <c r="Z67" s="65"/>
      <c r="AA67" s="58"/>
      <c r="AB67" s="72"/>
      <c r="AC67" s="72"/>
      <c r="AD67" s="72"/>
      <c r="AF67" s="58"/>
      <c r="AH67" s="65"/>
      <c r="AI67" s="58"/>
      <c r="AJ67" s="72"/>
      <c r="AK67" s="72"/>
      <c r="AL67" s="72"/>
      <c r="AN67" s="58"/>
      <c r="AP67" s="65"/>
      <c r="AQ67" s="58"/>
      <c r="AR67" s="72"/>
      <c r="AS67" s="72"/>
      <c r="AT67" s="72"/>
      <c r="AV67" s="58"/>
      <c r="AX67" s="65"/>
      <c r="AY67" s="58"/>
      <c r="AZ67" s="72"/>
      <c r="BA67" s="72"/>
      <c r="BB67" s="72"/>
      <c r="BC67" s="28"/>
      <c r="BD67" s="28"/>
      <c r="BE67" s="28"/>
      <c r="BF67" s="28"/>
    </row>
    <row r="68" spans="1:58" ht="15" customHeight="1">
      <c r="A68" s="440"/>
      <c r="B68" s="210" t="s">
        <v>56</v>
      </c>
      <c r="C68" s="105" t="s">
        <v>52</v>
      </c>
      <c r="D68" s="177"/>
      <c r="E68" s="141">
        <f ca="1">SUM(OFFSET(E68,0,-[0]!ng):OFFSET(E68,0,-1))</f>
        <v>0</v>
      </c>
      <c r="F68" s="65"/>
      <c r="G68" s="65"/>
      <c r="H68" s="88"/>
      <c r="I68" s="72"/>
      <c r="J68" s="72"/>
      <c r="K68" s="72"/>
      <c r="L68" s="59"/>
      <c r="M68" s="59"/>
      <c r="N68" s="59"/>
      <c r="O68" s="59"/>
      <c r="P68" s="59"/>
      <c r="Q68" s="59"/>
      <c r="R68" s="59"/>
      <c r="X68" s="58"/>
      <c r="Z68" s="65"/>
      <c r="AA68" s="58"/>
      <c r="AB68" s="72"/>
      <c r="AC68" s="72"/>
      <c r="AD68" s="72"/>
      <c r="AF68" s="58"/>
      <c r="AH68" s="65"/>
      <c r="AI68" s="58"/>
      <c r="AJ68" s="72"/>
      <c r="AK68" s="72"/>
      <c r="AL68" s="72"/>
      <c r="AN68" s="58"/>
      <c r="AP68" s="65"/>
      <c r="AQ68" s="58"/>
      <c r="AR68" s="72"/>
      <c r="AS68" s="72"/>
      <c r="AT68" s="72"/>
      <c r="AV68" s="58"/>
      <c r="AX68" s="65"/>
      <c r="AY68" s="58"/>
      <c r="AZ68" s="72"/>
      <c r="BA68" s="72"/>
      <c r="BB68" s="72"/>
      <c r="BC68" s="28"/>
      <c r="BD68" s="28"/>
      <c r="BE68" s="28"/>
      <c r="BF68" s="28"/>
    </row>
    <row r="69" spans="1:58" ht="15" customHeight="1" thickBot="1">
      <c r="A69" s="441"/>
      <c r="B69" s="223" t="s">
        <v>57</v>
      </c>
      <c r="C69" s="109" t="s">
        <v>55</v>
      </c>
      <c r="D69" s="202">
        <f>D68/24</f>
        <v>0</v>
      </c>
      <c r="E69" s="203">
        <f ca="1">E68/24</f>
        <v>0</v>
      </c>
      <c r="F69" s="65"/>
      <c r="G69" s="65"/>
      <c r="H69" s="88"/>
      <c r="I69" s="72"/>
      <c r="J69" s="72"/>
      <c r="K69" s="72"/>
      <c r="L69" s="59"/>
      <c r="M69" s="59"/>
      <c r="N69" s="59"/>
      <c r="O69" s="59"/>
      <c r="P69" s="59"/>
      <c r="Q69" s="59"/>
      <c r="R69" s="59"/>
      <c r="X69" s="58"/>
      <c r="Z69" s="65"/>
      <c r="AA69" s="58"/>
      <c r="AB69" s="72"/>
      <c r="AC69" s="72"/>
      <c r="AD69" s="72"/>
      <c r="AF69" s="58"/>
      <c r="AH69" s="65"/>
      <c r="AI69" s="58"/>
      <c r="AJ69" s="72"/>
      <c r="AK69" s="72"/>
      <c r="AL69" s="72"/>
      <c r="AN69" s="58"/>
      <c r="AP69" s="65"/>
      <c r="AQ69" s="58"/>
      <c r="AR69" s="72"/>
      <c r="AS69" s="72"/>
      <c r="AT69" s="72"/>
      <c r="AV69" s="58"/>
      <c r="AX69" s="65"/>
      <c r="AY69" s="58"/>
      <c r="AZ69" s="72"/>
      <c r="BA69" s="72"/>
      <c r="BB69" s="72"/>
      <c r="BC69" s="28"/>
      <c r="BD69" s="28"/>
      <c r="BE69" s="28"/>
      <c r="BF69" s="28"/>
    </row>
    <row r="70" spans="1:58" ht="15" customHeight="1">
      <c r="A70" s="393" t="s">
        <v>58</v>
      </c>
      <c r="B70" s="110" t="s">
        <v>59</v>
      </c>
      <c r="C70" s="108" t="s">
        <v>60</v>
      </c>
      <c r="D70" s="46"/>
      <c r="E70" s="224"/>
      <c r="F70" s="59"/>
      <c r="G70" s="59"/>
      <c r="H70" s="59"/>
      <c r="I70" s="59"/>
      <c r="J70" s="59"/>
      <c r="K70" s="59"/>
      <c r="L70" s="59"/>
      <c r="M70" s="59"/>
      <c r="X70" s="58"/>
      <c r="Z70" s="59"/>
      <c r="AA70" s="58"/>
      <c r="AB70" s="59"/>
      <c r="AC70" s="59"/>
      <c r="AD70" s="59"/>
      <c r="AF70" s="58"/>
      <c r="AH70" s="59"/>
      <c r="AI70" s="58"/>
      <c r="AJ70" s="59"/>
      <c r="AK70" s="59"/>
      <c r="AL70" s="59"/>
      <c r="AN70" s="58"/>
      <c r="AP70" s="59"/>
      <c r="AQ70" s="58"/>
      <c r="AR70" s="59"/>
      <c r="AS70" s="59"/>
      <c r="AT70" s="59"/>
      <c r="AV70" s="58"/>
      <c r="AX70" s="59"/>
      <c r="AY70" s="58"/>
      <c r="AZ70" s="59"/>
      <c r="BA70" s="59"/>
      <c r="BB70" s="59"/>
      <c r="BC70" s="28"/>
      <c r="BD70" s="28"/>
      <c r="BE70" s="28"/>
      <c r="BF70" s="28"/>
    </row>
    <row r="71" spans="1:58" ht="15" customHeight="1">
      <c r="A71" s="394" t="s">
        <v>61</v>
      </c>
      <c r="B71" s="111" t="s">
        <v>62</v>
      </c>
      <c r="C71" s="105" t="s">
        <v>60</v>
      </c>
      <c r="D71" s="102"/>
      <c r="E71" s="120"/>
      <c r="F71" s="79"/>
      <c r="G71" s="7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X71" s="58"/>
      <c r="Z71" s="79"/>
      <c r="AA71" s="58"/>
      <c r="AB71" s="59"/>
      <c r="AC71" s="59"/>
      <c r="AD71" s="59"/>
      <c r="AF71" s="58"/>
      <c r="AH71" s="79"/>
      <c r="AI71" s="58"/>
      <c r="AJ71" s="59"/>
      <c r="AK71" s="59"/>
      <c r="AL71" s="59"/>
      <c r="AN71" s="58"/>
      <c r="AP71" s="79"/>
      <c r="AQ71" s="58"/>
      <c r="AR71" s="59"/>
      <c r="AS71" s="59"/>
      <c r="AT71" s="59"/>
      <c r="AV71" s="58"/>
      <c r="AX71" s="79"/>
      <c r="AY71" s="58"/>
      <c r="AZ71" s="59"/>
      <c r="BA71" s="59"/>
      <c r="BB71" s="59"/>
      <c r="BC71" s="28"/>
      <c r="BD71" s="28"/>
      <c r="BE71" s="28"/>
      <c r="BF71" s="28"/>
    </row>
    <row r="72" spans="1:58" ht="15" customHeight="1">
      <c r="A72" s="395" t="s">
        <v>63</v>
      </c>
      <c r="B72" s="193" t="s">
        <v>64</v>
      </c>
      <c r="C72" s="105" t="s">
        <v>60</v>
      </c>
      <c r="D72" s="101">
        <f>MAX(D70:D71)</f>
        <v>0</v>
      </c>
      <c r="E72" s="204"/>
      <c r="F72" s="70"/>
      <c r="G72" s="70"/>
      <c r="H72" s="70"/>
      <c r="I72" s="70"/>
      <c r="J72" s="70"/>
      <c r="K72" s="59"/>
      <c r="L72" s="59"/>
      <c r="M72" s="59"/>
      <c r="N72" s="59"/>
      <c r="O72" s="59"/>
      <c r="P72" s="59"/>
      <c r="Q72" s="59"/>
      <c r="R72" s="59"/>
      <c r="X72" s="58"/>
      <c r="Z72" s="70"/>
      <c r="AA72" s="58"/>
      <c r="AB72" s="70"/>
      <c r="AC72" s="70"/>
      <c r="AD72" s="59"/>
      <c r="AF72" s="58"/>
      <c r="AH72" s="70"/>
      <c r="AI72" s="58"/>
      <c r="AJ72" s="70"/>
      <c r="AK72" s="70"/>
      <c r="AL72" s="59"/>
      <c r="AN72" s="58"/>
      <c r="AP72" s="70"/>
      <c r="AQ72" s="58"/>
      <c r="AR72" s="70"/>
      <c r="AS72" s="70"/>
      <c r="AT72" s="59"/>
      <c r="AV72" s="58"/>
      <c r="AX72" s="70"/>
      <c r="AY72" s="58"/>
      <c r="AZ72" s="70"/>
      <c r="BA72" s="70"/>
      <c r="BB72" s="59"/>
      <c r="BC72" s="28"/>
      <c r="BD72" s="28"/>
      <c r="BE72" s="28"/>
      <c r="BF72" s="28"/>
    </row>
    <row r="73" spans="1:58" ht="15" customHeight="1">
      <c r="A73" s="114" t="s">
        <v>65</v>
      </c>
      <c r="B73" s="111"/>
      <c r="C73" s="105" t="s">
        <v>66</v>
      </c>
      <c r="D73" s="47">
        <f>D$72*D$66</f>
        <v>0</v>
      </c>
      <c r="E73" s="125">
        <f ca="1">SUM(OFFSET(E73,0,-[0]!ng):OFFSET(E73,0,-1))</f>
        <v>0</v>
      </c>
      <c r="F73" s="70"/>
      <c r="G73" s="70"/>
      <c r="H73" s="70"/>
      <c r="I73" s="70"/>
      <c r="J73" s="70"/>
      <c r="K73" s="59"/>
      <c r="L73" s="59"/>
      <c r="M73" s="59"/>
      <c r="N73" s="59"/>
      <c r="O73" s="59"/>
      <c r="P73" s="59"/>
      <c r="Q73" s="59"/>
      <c r="R73" s="59"/>
      <c r="X73" s="58"/>
      <c r="Z73" s="70"/>
      <c r="AA73" s="58"/>
      <c r="AB73" s="70"/>
      <c r="AC73" s="70"/>
      <c r="AD73" s="59"/>
      <c r="AF73" s="58"/>
      <c r="AH73" s="70"/>
      <c r="AI73" s="58"/>
      <c r="AJ73" s="70"/>
      <c r="AK73" s="70"/>
      <c r="AL73" s="59"/>
      <c r="AN73" s="58"/>
      <c r="AP73" s="70"/>
      <c r="AQ73" s="58"/>
      <c r="AR73" s="70"/>
      <c r="AS73" s="70"/>
      <c r="AT73" s="59"/>
      <c r="AV73" s="58"/>
      <c r="AX73" s="70"/>
      <c r="AY73" s="58"/>
      <c r="AZ73" s="70"/>
      <c r="BA73" s="70"/>
      <c r="BB73" s="59"/>
      <c r="BC73" s="28"/>
      <c r="BD73" s="28"/>
      <c r="BE73" s="28"/>
      <c r="BF73" s="28"/>
    </row>
    <row r="74" spans="1:58" ht="15" customHeight="1" thickBot="1">
      <c r="A74" s="198" t="s">
        <v>67</v>
      </c>
      <c r="B74" s="199"/>
      <c r="C74" s="109" t="s">
        <v>68</v>
      </c>
      <c r="D74" s="48">
        <f>D$73/10000*100</f>
        <v>0</v>
      </c>
      <c r="E74" s="126">
        <f ca="1">SUM(OFFSET(E74,0,-[0]!ng):OFFSET(E74,0,-1))</f>
        <v>0</v>
      </c>
      <c r="F74" s="71"/>
      <c r="G74" s="71"/>
      <c r="H74" s="71"/>
      <c r="I74" s="71"/>
      <c r="J74" s="71"/>
      <c r="K74" s="59"/>
      <c r="L74" s="59"/>
      <c r="M74" s="59"/>
      <c r="N74" s="59"/>
      <c r="O74" s="59"/>
      <c r="P74" s="59"/>
      <c r="Q74" s="59"/>
      <c r="R74" s="59"/>
      <c r="X74" s="58"/>
      <c r="Z74" s="71"/>
      <c r="AA74" s="58"/>
      <c r="AB74" s="71"/>
      <c r="AC74" s="71"/>
      <c r="AD74" s="59"/>
      <c r="AF74" s="58"/>
      <c r="AH74" s="71"/>
      <c r="AI74" s="58"/>
      <c r="AJ74" s="71"/>
      <c r="AK74" s="71"/>
      <c r="AL74" s="59"/>
      <c r="AN74" s="58"/>
      <c r="AP74" s="71"/>
      <c r="AQ74" s="58"/>
      <c r="AR74" s="71"/>
      <c r="AS74" s="71"/>
      <c r="AT74" s="59"/>
      <c r="AV74" s="58"/>
      <c r="AX74" s="71"/>
      <c r="AY74" s="58"/>
      <c r="AZ74" s="71"/>
      <c r="BA74" s="71"/>
      <c r="BB74" s="59"/>
      <c r="BC74" s="28"/>
      <c r="BD74" s="28"/>
      <c r="BE74" s="28"/>
      <c r="BF74" s="28"/>
    </row>
    <row r="75" spans="1:58" ht="15" customHeight="1">
      <c r="A75" s="442" t="s">
        <v>69</v>
      </c>
      <c r="B75" s="112"/>
      <c r="C75" s="112"/>
      <c r="D75" s="112"/>
      <c r="E75" s="124">
        <f ca="1">E73/(E66+E68)*8760*100/10000</f>
        <v>0</v>
      </c>
      <c r="F75" s="59"/>
      <c r="G75" s="59"/>
      <c r="H75" s="59"/>
      <c r="I75" s="59"/>
      <c r="J75" s="59"/>
      <c r="K75" s="59"/>
      <c r="L75" s="59"/>
      <c r="M75" s="59"/>
      <c r="N75" s="59"/>
      <c r="O75" s="59"/>
      <c r="X75" s="58"/>
      <c r="Z75" s="59"/>
      <c r="AA75" s="58"/>
      <c r="AB75" s="59"/>
      <c r="AC75" s="59"/>
      <c r="AD75" s="59"/>
      <c r="AF75" s="58"/>
      <c r="AH75" s="59"/>
      <c r="AI75" s="58"/>
      <c r="AJ75" s="59"/>
      <c r="AK75" s="59"/>
      <c r="AL75" s="59"/>
      <c r="AN75" s="58"/>
      <c r="AP75" s="59"/>
      <c r="AQ75" s="58"/>
      <c r="AR75" s="59"/>
      <c r="AS75" s="59"/>
      <c r="AT75" s="59"/>
      <c r="AV75" s="58"/>
      <c r="AX75" s="59"/>
      <c r="AY75" s="58"/>
      <c r="AZ75" s="59"/>
      <c r="BA75" s="59"/>
      <c r="BB75" s="59"/>
      <c r="BC75" s="28"/>
      <c r="BD75" s="28"/>
      <c r="BE75" s="28"/>
      <c r="BF75" s="28"/>
    </row>
    <row r="76" spans="1:58" ht="15" customHeight="1">
      <c r="A76" s="443" t="s">
        <v>70</v>
      </c>
      <c r="B76" s="384"/>
      <c r="C76" s="384"/>
      <c r="D76" s="384"/>
      <c r="E76" s="396">
        <f ca="1">E73/(E66)*8760*100/10000</f>
        <v>0</v>
      </c>
      <c r="F76" s="59"/>
      <c r="G76" s="59"/>
      <c r="H76" s="59"/>
      <c r="I76" s="59"/>
      <c r="J76" s="59"/>
      <c r="K76" s="59"/>
      <c r="L76" s="59"/>
      <c r="M76" s="59"/>
      <c r="N76" s="59"/>
      <c r="O76" s="59"/>
      <c r="X76" s="58"/>
      <c r="Z76" s="59"/>
      <c r="AA76" s="58"/>
      <c r="AB76" s="59"/>
      <c r="AC76" s="59"/>
      <c r="AD76" s="59"/>
      <c r="AF76" s="58"/>
      <c r="AH76" s="59"/>
      <c r="AI76" s="58"/>
      <c r="AJ76" s="59"/>
      <c r="AK76" s="59"/>
      <c r="AL76" s="59"/>
      <c r="AN76" s="58"/>
      <c r="AP76" s="59"/>
      <c r="AQ76" s="58"/>
      <c r="AR76" s="59"/>
      <c r="AS76" s="59"/>
      <c r="AT76" s="59"/>
      <c r="AV76" s="58"/>
      <c r="AX76" s="59"/>
      <c r="AY76" s="58"/>
      <c r="AZ76" s="59"/>
      <c r="BA76" s="59"/>
      <c r="BB76" s="59"/>
      <c r="BC76" s="28"/>
      <c r="BD76" s="28"/>
      <c r="BE76" s="28"/>
      <c r="BF76" s="28"/>
    </row>
    <row r="77" spans="1:58" ht="15" customHeight="1" thickBot="1">
      <c r="A77" s="449" t="s">
        <v>71</v>
      </c>
      <c r="B77" s="446"/>
      <c r="C77" s="446"/>
      <c r="D77" s="446"/>
      <c r="E77" s="447"/>
      <c r="F77" s="392"/>
      <c r="G77" s="392"/>
      <c r="H77" s="392"/>
      <c r="I77" s="59"/>
      <c r="J77" s="59"/>
      <c r="K77" s="59"/>
      <c r="L77" s="59"/>
      <c r="M77" s="59"/>
      <c r="N77" s="59"/>
      <c r="O77" s="59"/>
      <c r="P77" s="59"/>
      <c r="X77" s="58"/>
      <c r="Z77" s="59"/>
      <c r="AA77" s="58"/>
      <c r="AB77" s="59"/>
      <c r="AC77" s="59"/>
      <c r="AD77" s="59"/>
      <c r="AF77" s="58"/>
      <c r="AH77" s="59"/>
      <c r="AI77" s="58"/>
      <c r="AJ77" s="59"/>
      <c r="AK77" s="59"/>
      <c r="AL77" s="59"/>
      <c r="AN77" s="58"/>
      <c r="AP77" s="59"/>
      <c r="AQ77" s="58"/>
      <c r="AR77" s="59"/>
      <c r="AS77" s="59"/>
      <c r="AT77" s="59"/>
      <c r="AV77" s="58"/>
      <c r="AX77" s="59"/>
      <c r="AY77" s="58"/>
      <c r="AZ77" s="59"/>
      <c r="BA77" s="59"/>
      <c r="BB77" s="59"/>
      <c r="BC77" s="28"/>
      <c r="BD77" s="28"/>
      <c r="BE77" s="28"/>
      <c r="BF77" s="28"/>
    </row>
    <row r="78" spans="1:58" s="319" customFormat="1" ht="15" customHeight="1">
      <c r="B78" s="320"/>
      <c r="C78" s="325" t="s">
        <v>72</v>
      </c>
      <c r="D78" s="346">
        <f ca="1">TODAY()</f>
        <v>44545</v>
      </c>
      <c r="E78" s="139"/>
      <c r="F78" s="321"/>
      <c r="G78" s="347"/>
      <c r="H78" s="348"/>
      <c r="I78" s="345"/>
      <c r="J78" s="325" t="s">
        <v>73</v>
      </c>
      <c r="K78" s="324" t="s">
        <v>80</v>
      </c>
      <c r="L78" s="323"/>
      <c r="M78" s="323"/>
      <c r="N78" s="323"/>
      <c r="O78" s="323"/>
      <c r="P78" s="135"/>
      <c r="Q78" s="323"/>
    </row>
    <row r="79" spans="1:58" ht="15" customHeight="1" thickBot="1">
      <c r="A79" s="58"/>
      <c r="B79" s="58"/>
      <c r="C79" s="58"/>
      <c r="D79" s="58"/>
      <c r="E79" s="58"/>
      <c r="F79" s="58"/>
      <c r="G79" s="58"/>
      <c r="H79" s="58"/>
      <c r="I79" s="58"/>
      <c r="J79" s="58"/>
      <c r="O79" s="59"/>
      <c r="P79" s="59"/>
      <c r="Q79" s="59"/>
      <c r="X79" s="58"/>
      <c r="Z79" s="58"/>
      <c r="AA79" s="58"/>
      <c r="AF79" s="58"/>
      <c r="AH79" s="58"/>
      <c r="AI79" s="58"/>
      <c r="AN79" s="58"/>
      <c r="AP79" s="58"/>
      <c r="AQ79" s="58"/>
      <c r="AV79" s="58"/>
      <c r="AX79" s="58"/>
      <c r="AY79" s="58"/>
      <c r="BA79" s="58"/>
    </row>
    <row r="80" spans="1:58" ht="15" customHeight="1">
      <c r="A80" s="3"/>
      <c r="B80" s="354"/>
      <c r="C80" s="60"/>
      <c r="D80" s="60"/>
      <c r="E80" s="60"/>
      <c r="F80" s="58"/>
      <c r="G80" s="58"/>
      <c r="I80" s="58"/>
      <c r="J80" s="58"/>
      <c r="M80" s="59"/>
      <c r="N80" s="59"/>
      <c r="O80" s="59"/>
      <c r="V80" s="84"/>
      <c r="X80" s="58"/>
      <c r="Y80" s="28"/>
      <c r="Z80" s="58"/>
      <c r="AA80" s="58"/>
      <c r="AD80" s="84"/>
      <c r="AF80" s="58"/>
      <c r="AG80" s="28"/>
      <c r="AH80" s="58"/>
      <c r="AI80" s="58"/>
      <c r="AL80" s="84"/>
      <c r="AN80" s="58"/>
      <c r="AO80" s="28"/>
      <c r="AP80" s="58"/>
      <c r="AQ80" s="58"/>
      <c r="AT80" s="84"/>
      <c r="AV80" s="58"/>
      <c r="AW80" s="28"/>
      <c r="AX80" s="58"/>
      <c r="BA80" s="59"/>
      <c r="BB80" s="59"/>
      <c r="BE80" s="28"/>
      <c r="BF80" s="28"/>
    </row>
    <row r="81" spans="1:58" ht="15" hidden="1" customHeight="1" thickBot="1">
      <c r="A81" s="60"/>
      <c r="B81" s="60"/>
      <c r="C81" s="87"/>
      <c r="D81" s="87"/>
      <c r="E81" s="60"/>
      <c r="F81" s="58"/>
      <c r="G81" s="59"/>
      <c r="H81" s="59"/>
      <c r="I81" s="58"/>
      <c r="J81" s="58"/>
      <c r="M81" s="59"/>
      <c r="N81" s="59"/>
      <c r="O81" s="59"/>
      <c r="V81" s="85"/>
      <c r="X81" s="59"/>
      <c r="Y81" s="59"/>
      <c r="Z81" s="58"/>
      <c r="AA81" s="58"/>
      <c r="AD81" s="85"/>
      <c r="AF81" s="59"/>
      <c r="AG81" s="59"/>
      <c r="AH81" s="58"/>
      <c r="AI81" s="58"/>
      <c r="AL81" s="85"/>
      <c r="AN81" s="59"/>
      <c r="AO81" s="59"/>
      <c r="AP81" s="58"/>
      <c r="AQ81" s="58"/>
      <c r="AT81" s="85"/>
      <c r="AV81" s="59"/>
      <c r="AW81" s="59"/>
      <c r="AX81" s="58"/>
      <c r="AY81" s="59"/>
      <c r="BA81" s="59"/>
      <c r="BB81" s="59"/>
      <c r="BE81" s="28"/>
      <c r="BF81" s="28"/>
    </row>
    <row r="82" spans="1:58" ht="15" hidden="1" customHeight="1">
      <c r="A82" s="59"/>
      <c r="B82" s="59"/>
      <c r="C82" s="59"/>
      <c r="D82" s="59"/>
      <c r="E82" s="59"/>
      <c r="F82" s="87"/>
      <c r="G82" s="60"/>
      <c r="H82" s="59"/>
      <c r="I82" s="59"/>
      <c r="J82" s="59"/>
      <c r="O82" s="59"/>
      <c r="P82" s="59"/>
      <c r="Q82" s="59"/>
      <c r="X82" s="59"/>
      <c r="Z82" s="59"/>
      <c r="AA82" s="59"/>
      <c r="AF82" s="59"/>
      <c r="AH82" s="59"/>
      <c r="AI82" s="59"/>
      <c r="AN82" s="59"/>
      <c r="AP82" s="59"/>
      <c r="AQ82" s="59"/>
      <c r="AV82" s="59"/>
      <c r="AX82" s="59"/>
      <c r="AY82" s="59"/>
      <c r="BA82" s="59"/>
    </row>
    <row r="83" spans="1:58" ht="15" hidden="1" customHeight="1">
      <c r="A83" s="58"/>
      <c r="B83" s="58"/>
      <c r="C83" s="58"/>
      <c r="D83" s="58"/>
      <c r="E83" s="59"/>
      <c r="F83" s="59"/>
      <c r="G83" s="59"/>
      <c r="H83" s="59"/>
      <c r="I83" s="59"/>
      <c r="J83" s="59"/>
      <c r="O83" s="59"/>
      <c r="P83" s="59"/>
      <c r="Q83" s="59"/>
      <c r="X83" s="59"/>
      <c r="Z83" s="59"/>
      <c r="AA83" s="59"/>
      <c r="AF83" s="59"/>
      <c r="AH83" s="59"/>
      <c r="AI83" s="59"/>
      <c r="AN83" s="59"/>
      <c r="AP83" s="59"/>
      <c r="AQ83" s="59"/>
      <c r="AV83" s="59"/>
      <c r="AX83" s="59"/>
      <c r="AY83" s="59"/>
      <c r="BA83" s="59"/>
    </row>
    <row r="84" spans="1:58" ht="240" customHeight="1">
      <c r="A84" s="58"/>
      <c r="B84" s="58"/>
      <c r="C84" s="58"/>
      <c r="D84" s="59"/>
      <c r="E84" s="59"/>
      <c r="F84" s="59"/>
      <c r="G84" s="59"/>
      <c r="H84" s="59"/>
      <c r="I84" s="59"/>
      <c r="J84" s="59"/>
      <c r="O84" s="59"/>
      <c r="P84" s="59"/>
      <c r="Q84" s="59"/>
      <c r="X84" s="59"/>
      <c r="Z84" s="59"/>
      <c r="AA84" s="59"/>
      <c r="AF84" s="59"/>
      <c r="AH84" s="59"/>
      <c r="AI84" s="59"/>
      <c r="AN84" s="59"/>
      <c r="AP84" s="59"/>
      <c r="AQ84" s="59"/>
      <c r="AV84" s="59"/>
      <c r="AX84" s="59"/>
      <c r="AY84" s="59"/>
      <c r="BA84" s="59"/>
      <c r="BC84" s="308"/>
      <c r="BD84" s="308"/>
      <c r="BE84" s="308"/>
    </row>
    <row r="85" spans="1:58" ht="66.75" customHeight="1">
      <c r="A85" s="58"/>
      <c r="B85" s="58"/>
      <c r="C85" s="58"/>
      <c r="D85" s="58"/>
      <c r="E85" s="59"/>
      <c r="F85" s="59"/>
      <c r="G85" s="59"/>
      <c r="H85" s="59"/>
      <c r="I85" s="59"/>
      <c r="J85" s="59"/>
      <c r="O85" s="59"/>
      <c r="P85" s="59"/>
      <c r="Q85" s="59"/>
      <c r="X85" s="59"/>
      <c r="Z85" s="59"/>
      <c r="AA85" s="59"/>
      <c r="AF85" s="59"/>
      <c r="AH85" s="59"/>
      <c r="AI85" s="59"/>
      <c r="AN85" s="59"/>
      <c r="AP85" s="59"/>
      <c r="AQ85" s="59"/>
      <c r="AV85" s="59"/>
      <c r="AX85" s="59"/>
      <c r="AY85" s="59"/>
      <c r="BA85" s="59"/>
      <c r="BC85" s="308"/>
      <c r="BD85" s="358" t="s">
        <v>75</v>
      </c>
      <c r="BE85" s="308"/>
    </row>
    <row r="86" spans="1:58" ht="237" customHeight="1">
      <c r="A86" s="58"/>
      <c r="B86" s="58"/>
      <c r="C86" s="58"/>
      <c r="D86" s="58"/>
      <c r="E86" s="59"/>
      <c r="F86" s="59"/>
      <c r="G86" s="59"/>
      <c r="H86" s="59"/>
      <c r="I86" s="59"/>
      <c r="J86" s="59"/>
      <c r="O86" s="59"/>
      <c r="P86" s="59"/>
      <c r="Q86" s="59"/>
      <c r="X86" s="59"/>
      <c r="Z86" s="59"/>
      <c r="AA86" s="59"/>
      <c r="AF86" s="59"/>
      <c r="AH86" s="59"/>
      <c r="AI86" s="59"/>
      <c r="AN86" s="59"/>
      <c r="AP86" s="59"/>
      <c r="AQ86" s="59"/>
      <c r="AV86" s="59"/>
      <c r="AX86" s="59"/>
      <c r="AY86" s="59"/>
      <c r="BA86" s="59"/>
      <c r="BC86" s="308"/>
      <c r="BD86" s="308"/>
      <c r="BE86" s="308"/>
    </row>
    <row r="87" spans="1:58" ht="15" customHeight="1">
      <c r="A87" s="58"/>
      <c r="B87" s="58"/>
      <c r="C87" s="58"/>
      <c r="D87" s="58"/>
      <c r="E87" s="59"/>
      <c r="F87" s="59"/>
      <c r="G87" s="59"/>
      <c r="H87" s="59"/>
      <c r="I87" s="58"/>
      <c r="J87" s="58"/>
      <c r="X87" s="58"/>
      <c r="Z87" s="58"/>
      <c r="AA87" s="58"/>
      <c r="AF87" s="58"/>
      <c r="AH87" s="58"/>
      <c r="AI87" s="58"/>
      <c r="AN87" s="58"/>
      <c r="AP87" s="58"/>
      <c r="AQ87" s="58"/>
      <c r="AV87" s="58"/>
      <c r="AX87" s="58"/>
      <c r="AY87" s="58"/>
      <c r="BA87" s="58"/>
    </row>
    <row r="88" spans="1:58" ht="15" customHeight="1">
      <c r="A88" s="58"/>
      <c r="B88" s="58"/>
      <c r="C88" s="58"/>
      <c r="D88" s="58"/>
      <c r="E88" s="59"/>
      <c r="F88" s="59"/>
      <c r="G88" s="58"/>
      <c r="H88" s="58"/>
      <c r="I88" s="58"/>
      <c r="J88" s="58"/>
      <c r="X88" s="58"/>
      <c r="Z88" s="58"/>
      <c r="AA88" s="58"/>
      <c r="AF88" s="58"/>
      <c r="AH88" s="58"/>
      <c r="AI88" s="58"/>
      <c r="AN88" s="58"/>
      <c r="AP88" s="58"/>
      <c r="AQ88" s="58"/>
      <c r="AV88" s="58"/>
      <c r="AX88" s="58"/>
      <c r="AY88" s="58"/>
      <c r="BA88" s="58"/>
    </row>
    <row r="89" spans="1:58" ht="15" customHeight="1">
      <c r="A89" s="58"/>
      <c r="B89" s="58"/>
      <c r="C89" s="58"/>
      <c r="D89" s="59"/>
      <c r="E89" s="59"/>
      <c r="F89" s="59"/>
      <c r="G89" s="58"/>
      <c r="H89" s="58"/>
      <c r="I89" s="58"/>
      <c r="J89" s="58"/>
      <c r="X89" s="58"/>
      <c r="Z89" s="58"/>
      <c r="AA89" s="58"/>
      <c r="AF89" s="58"/>
      <c r="AH89" s="58"/>
      <c r="AI89" s="58"/>
      <c r="AN89" s="58"/>
      <c r="AP89" s="58"/>
      <c r="AQ89" s="58"/>
      <c r="AV89" s="58"/>
      <c r="AX89" s="58"/>
      <c r="AY89" s="58"/>
      <c r="BA89" s="58"/>
    </row>
    <row r="90" spans="1:58" ht="15" customHeight="1">
      <c r="A90" s="58"/>
      <c r="B90" s="58"/>
      <c r="C90" s="58"/>
      <c r="D90" s="59"/>
      <c r="E90" s="59"/>
      <c r="F90" s="59"/>
      <c r="G90" s="58"/>
      <c r="H90" s="58"/>
      <c r="I90" s="58"/>
      <c r="J90" s="58"/>
      <c r="X90" s="58"/>
      <c r="Z90" s="58"/>
      <c r="AA90" s="58"/>
      <c r="AF90" s="58"/>
      <c r="AH90" s="58"/>
      <c r="AI90" s="58"/>
      <c r="AN90" s="58"/>
      <c r="AP90" s="58"/>
      <c r="AQ90" s="58"/>
      <c r="AV90" s="58"/>
      <c r="AX90" s="58"/>
      <c r="AY90" s="58"/>
      <c r="BA90" s="58"/>
    </row>
    <row r="91" spans="1:58" ht="15" customHeight="1">
      <c r="A91" s="58"/>
      <c r="B91" s="58"/>
      <c r="C91" s="58"/>
      <c r="D91" s="59"/>
      <c r="E91" s="59"/>
      <c r="F91" s="59"/>
      <c r="G91" s="58"/>
      <c r="H91" s="58"/>
      <c r="I91" s="58"/>
      <c r="J91" s="58"/>
      <c r="X91" s="58"/>
      <c r="Z91" s="58"/>
      <c r="AA91" s="58"/>
      <c r="AF91" s="58"/>
      <c r="AH91" s="58"/>
      <c r="AI91" s="58"/>
      <c r="AN91" s="58"/>
      <c r="AP91" s="58"/>
      <c r="AQ91" s="58"/>
      <c r="AV91" s="58"/>
      <c r="AX91" s="58"/>
      <c r="AY91" s="58"/>
      <c r="BA91" s="58"/>
    </row>
    <row r="92" spans="1:58" ht="15" customHeight="1">
      <c r="A92" s="58"/>
      <c r="B92" s="58"/>
      <c r="C92" s="58"/>
      <c r="D92" s="59"/>
      <c r="E92" s="59"/>
      <c r="F92" s="59"/>
      <c r="G92" s="58"/>
      <c r="H92" s="58"/>
      <c r="I92" s="58"/>
      <c r="J92" s="58"/>
      <c r="X92" s="58"/>
      <c r="Z92" s="58"/>
      <c r="AA92" s="58"/>
      <c r="AF92" s="58"/>
      <c r="AH92" s="58"/>
      <c r="AI92" s="58"/>
      <c r="AN92" s="58"/>
      <c r="AP92" s="58"/>
      <c r="AQ92" s="58"/>
      <c r="AV92" s="58"/>
      <c r="AX92" s="58"/>
      <c r="AY92" s="58"/>
      <c r="BA92" s="58"/>
    </row>
    <row r="93" spans="1:58" ht="15" customHeight="1">
      <c r="A93" s="59"/>
      <c r="B93" s="59"/>
      <c r="C93" s="59"/>
      <c r="D93" s="59"/>
      <c r="E93" s="58"/>
      <c r="F93" s="59"/>
      <c r="G93" s="58"/>
      <c r="H93" s="58"/>
      <c r="I93" s="58"/>
      <c r="J93" s="58"/>
      <c r="X93" s="58"/>
      <c r="Z93" s="58"/>
      <c r="AA93" s="58"/>
      <c r="AF93" s="58"/>
      <c r="AH93" s="58"/>
      <c r="AI93" s="58"/>
      <c r="AN93" s="58"/>
      <c r="AP93" s="58"/>
      <c r="AQ93" s="58"/>
      <c r="AV93" s="58"/>
      <c r="AX93" s="58"/>
      <c r="AY93" s="58"/>
      <c r="BA93" s="58"/>
    </row>
    <row r="94" spans="1:58" ht="15" customHeight="1">
      <c r="A94" s="59"/>
      <c r="B94" s="59"/>
      <c r="C94" s="59"/>
      <c r="D94" s="59"/>
      <c r="E94" s="58"/>
      <c r="F94" s="58"/>
      <c r="G94" s="58"/>
      <c r="H94" s="58"/>
      <c r="I94" s="58"/>
      <c r="J94" s="58"/>
      <c r="X94" s="58"/>
      <c r="Z94" s="58"/>
      <c r="AA94" s="58"/>
      <c r="AF94" s="58"/>
      <c r="AH94" s="58"/>
      <c r="AI94" s="58"/>
      <c r="AN94" s="58"/>
      <c r="AP94" s="58"/>
      <c r="AQ94" s="58"/>
      <c r="AV94" s="58"/>
      <c r="AX94" s="58"/>
      <c r="AY94" s="58"/>
      <c r="BA94" s="58"/>
    </row>
    <row r="95" spans="1:58" ht="15" customHeight="1">
      <c r="A95" s="59"/>
      <c r="B95" s="59"/>
      <c r="C95" s="59"/>
      <c r="D95" s="59"/>
      <c r="E95" s="58"/>
      <c r="F95" s="58"/>
      <c r="G95" s="58"/>
      <c r="H95" s="58"/>
      <c r="I95" s="58"/>
      <c r="J95" s="58"/>
      <c r="X95" s="58"/>
      <c r="Z95" s="58"/>
      <c r="AA95" s="58"/>
      <c r="AF95" s="58"/>
      <c r="AH95" s="58"/>
      <c r="AI95" s="58"/>
      <c r="AN95" s="58"/>
      <c r="AP95" s="58"/>
      <c r="AQ95" s="58"/>
      <c r="AV95" s="58"/>
      <c r="AX95" s="58"/>
      <c r="AY95" s="58"/>
      <c r="BA95" s="58"/>
    </row>
    <row r="96" spans="1:58" ht="15" customHeight="1">
      <c r="A96" s="59"/>
      <c r="B96" s="59"/>
      <c r="C96" s="59"/>
      <c r="D96" s="59"/>
      <c r="E96" s="58"/>
      <c r="F96" s="58"/>
      <c r="G96" s="58"/>
      <c r="H96" s="58"/>
      <c r="I96" s="58"/>
      <c r="J96" s="58"/>
      <c r="X96" s="58"/>
      <c r="Z96" s="58"/>
      <c r="AA96" s="58"/>
      <c r="AF96" s="58"/>
      <c r="AH96" s="58"/>
      <c r="AI96" s="58"/>
      <c r="AN96" s="58"/>
      <c r="AP96" s="58"/>
      <c r="AQ96" s="58"/>
      <c r="AV96" s="58"/>
      <c r="AX96" s="58"/>
      <c r="AY96" s="58"/>
      <c r="BA96" s="58"/>
    </row>
    <row r="97" spans="1:58" ht="15" customHeight="1">
      <c r="A97" s="59"/>
      <c r="B97" s="59"/>
      <c r="C97" s="59"/>
      <c r="D97" s="59"/>
      <c r="E97" s="58"/>
      <c r="F97" s="58"/>
      <c r="G97" s="58"/>
      <c r="H97" s="58"/>
      <c r="I97" s="58"/>
      <c r="J97" s="58"/>
      <c r="X97" s="58"/>
      <c r="Z97" s="58"/>
      <c r="AA97" s="58"/>
      <c r="AF97" s="58"/>
      <c r="AH97" s="58"/>
      <c r="AI97" s="58"/>
      <c r="AN97" s="58"/>
      <c r="AP97" s="58"/>
      <c r="AQ97" s="58"/>
      <c r="AV97" s="58"/>
      <c r="AX97" s="58"/>
      <c r="AY97" s="58"/>
      <c r="BA97" s="58"/>
    </row>
    <row r="98" spans="1:58" ht="15" customHeight="1">
      <c r="A98" s="59"/>
      <c r="B98" s="59"/>
      <c r="C98" s="59"/>
      <c r="D98" s="59"/>
      <c r="E98" s="58"/>
      <c r="F98" s="58"/>
      <c r="G98" s="58"/>
      <c r="H98" s="58"/>
      <c r="I98" s="58"/>
      <c r="J98" s="58"/>
      <c r="X98" s="58"/>
      <c r="Z98" s="58"/>
      <c r="AA98" s="58"/>
      <c r="AF98" s="58"/>
      <c r="AH98" s="58"/>
      <c r="AI98" s="58"/>
      <c r="AN98" s="58"/>
      <c r="AP98" s="58"/>
      <c r="AQ98" s="58"/>
      <c r="AV98" s="58"/>
      <c r="AX98" s="58"/>
      <c r="AY98" s="58"/>
      <c r="BA98" s="58"/>
    </row>
    <row r="99" spans="1:58" ht="15" customHeight="1">
      <c r="A99" s="59"/>
      <c r="B99" s="59"/>
      <c r="C99" s="59"/>
      <c r="D99" s="59"/>
      <c r="E99" s="58"/>
      <c r="F99" s="58"/>
      <c r="G99" s="58"/>
      <c r="H99" s="58"/>
      <c r="I99" s="58"/>
      <c r="J99" s="58"/>
      <c r="X99" s="58"/>
      <c r="Z99" s="58"/>
      <c r="AA99" s="58"/>
      <c r="AF99" s="58"/>
      <c r="AH99" s="58"/>
      <c r="AI99" s="58"/>
      <c r="AN99" s="58"/>
      <c r="AP99" s="58"/>
      <c r="AQ99" s="58"/>
      <c r="AV99" s="58"/>
      <c r="AX99" s="58"/>
      <c r="AY99" s="58"/>
      <c r="BA99" s="58"/>
    </row>
    <row r="100" spans="1:58" s="58" customFormat="1" ht="15" customHeight="1">
      <c r="A100" s="59"/>
      <c r="B100" s="59"/>
      <c r="C100" s="59"/>
      <c r="D100" s="59"/>
      <c r="BC100" s="59"/>
      <c r="BD100" s="59"/>
      <c r="BE100" s="59"/>
      <c r="BF100" s="59"/>
    </row>
    <row r="101" spans="1:58" s="58" customFormat="1" ht="15" customHeight="1">
      <c r="A101" s="59"/>
      <c r="B101" s="59"/>
      <c r="C101" s="59"/>
      <c r="D101" s="59"/>
      <c r="BC101" s="59"/>
      <c r="BD101" s="59"/>
      <c r="BE101" s="59"/>
      <c r="BF101" s="59"/>
    </row>
    <row r="102" spans="1:58" s="58" customFormat="1" ht="15" customHeight="1">
      <c r="A102" s="59"/>
      <c r="B102" s="59"/>
      <c r="C102" s="59"/>
      <c r="D102" s="59"/>
      <c r="BC102" s="59"/>
      <c r="BD102" s="59"/>
      <c r="BE102" s="59"/>
      <c r="BF102" s="59"/>
    </row>
    <row r="103" spans="1:58">
      <c r="A103" s="29"/>
      <c r="B103" s="29"/>
      <c r="C103" s="29"/>
      <c r="D103" s="29"/>
      <c r="F103" s="58"/>
      <c r="G103" s="58"/>
      <c r="H103" s="58"/>
    </row>
    <row r="104" spans="1:58">
      <c r="A104" s="29"/>
      <c r="B104" s="29"/>
      <c r="C104" s="29"/>
      <c r="D104" s="29"/>
    </row>
    <row r="105" spans="1:58">
      <c r="A105" s="29"/>
      <c r="B105" s="29"/>
      <c r="C105" s="29"/>
      <c r="D105" s="29"/>
    </row>
    <row r="106" spans="1:58">
      <c r="A106" s="29"/>
      <c r="B106" s="29"/>
      <c r="C106" s="29"/>
      <c r="D106" s="29"/>
    </row>
    <row r="107" spans="1:58">
      <c r="A107" s="29"/>
      <c r="B107" s="29"/>
      <c r="C107" s="29"/>
      <c r="D107" s="29"/>
    </row>
    <row r="108" spans="1:58">
      <c r="A108" s="29"/>
      <c r="B108" s="29"/>
      <c r="C108" s="29"/>
      <c r="D108" s="29"/>
    </row>
    <row r="109" spans="1:58">
      <c r="A109" s="29"/>
      <c r="B109" s="29"/>
      <c r="C109" s="29"/>
      <c r="D109" s="29"/>
    </row>
    <row r="110" spans="1:58">
      <c r="A110" s="29"/>
      <c r="B110" s="29"/>
      <c r="C110" s="29"/>
      <c r="D110" s="29"/>
    </row>
    <row r="111" spans="1:58">
      <c r="A111" s="29"/>
      <c r="B111" s="29"/>
      <c r="C111" s="29"/>
      <c r="D111" s="29"/>
    </row>
    <row r="112" spans="1:58">
      <c r="A112" s="29"/>
      <c r="B112" s="29"/>
      <c r="C112" s="29"/>
      <c r="D112" s="29"/>
    </row>
    <row r="113" spans="1:4">
      <c r="A113" s="29"/>
      <c r="B113" s="29"/>
      <c r="C113" s="29"/>
      <c r="D113" s="29"/>
    </row>
    <row r="114" spans="1:4">
      <c r="A114" s="29"/>
      <c r="B114" s="29"/>
      <c r="C114" s="29"/>
      <c r="D114" s="29"/>
    </row>
    <row r="115" spans="1:4">
      <c r="A115" s="29"/>
      <c r="B115" s="29"/>
      <c r="C115" s="29"/>
      <c r="D115" s="29"/>
    </row>
    <row r="116" spans="1:4">
      <c r="A116" s="29"/>
      <c r="B116" s="29"/>
      <c r="C116" s="29"/>
      <c r="D116" s="29"/>
    </row>
    <row r="117" spans="1:4">
      <c r="A117" s="29"/>
      <c r="B117" s="29"/>
      <c r="C117" s="29"/>
      <c r="D117" s="29"/>
    </row>
    <row r="118" spans="1:4">
      <c r="A118" s="29"/>
      <c r="B118" s="29"/>
      <c r="C118" s="29"/>
      <c r="D118" s="29"/>
    </row>
    <row r="119" spans="1:4">
      <c r="A119" s="29"/>
      <c r="B119" s="29"/>
      <c r="C119" s="29"/>
      <c r="D119" s="29"/>
    </row>
    <row r="120" spans="1:4">
      <c r="A120" s="29"/>
      <c r="B120" s="29"/>
      <c r="C120" s="29"/>
      <c r="D120" s="29"/>
    </row>
    <row r="121" spans="1:4">
      <c r="A121" s="29"/>
      <c r="B121" s="29"/>
      <c r="C121" s="29"/>
      <c r="D121" s="29"/>
    </row>
    <row r="122" spans="1:4">
      <c r="A122" s="29"/>
      <c r="B122" s="29"/>
      <c r="C122" s="29"/>
      <c r="D122" s="29"/>
    </row>
    <row r="123" spans="1:4">
      <c r="A123" s="29"/>
      <c r="B123" s="29"/>
      <c r="C123" s="29"/>
      <c r="D123" s="29"/>
    </row>
    <row r="124" spans="1:4">
      <c r="A124" s="29"/>
      <c r="B124" s="29"/>
      <c r="C124" s="29"/>
      <c r="D124" s="29"/>
    </row>
    <row r="125" spans="1:4">
      <c r="A125" s="29"/>
      <c r="B125" s="29"/>
      <c r="C125" s="29"/>
      <c r="D125" s="29"/>
    </row>
    <row r="126" spans="1:4">
      <c r="A126" s="29"/>
      <c r="B126" s="29"/>
      <c r="C126" s="29"/>
    </row>
  </sheetData>
  <sheetProtection sheet="1" objects="1" scenarios="1"/>
  <printOptions horizontalCentered="1" verticalCentered="1"/>
  <pageMargins left="0.5" right="0.5" top="0.5" bottom="0.5" header="0.5" footer="0.5"/>
  <pageSetup scale="22" orientation="landscape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BO126"/>
  <sheetViews>
    <sheetView topLeftCell="A74" zoomScale="400" workbookViewId="0">
      <selection sqref="A1:XFD1048576"/>
    </sheetView>
  </sheetViews>
  <sheetFormatPr baseColWidth="10" defaultColWidth="11.5" defaultRowHeight="14"/>
  <cols>
    <col min="1" max="1" width="13.1640625" style="58" customWidth="1"/>
    <col min="2" max="2" width="13" style="58" customWidth="1"/>
    <col min="3" max="3" width="10" style="58" customWidth="1"/>
    <col min="4" max="18" width="6.6640625" style="58" customWidth="1"/>
    <col min="19" max="19" width="6.83203125" style="58" customWidth="1"/>
    <col min="20" max="24" width="6.6640625" style="58" customWidth="1"/>
    <col min="25" max="25" width="6.83203125" style="58" customWidth="1"/>
    <col min="26" max="28" width="6.6640625" style="58" customWidth="1"/>
    <col min="29" max="31" width="6.83203125" style="58" customWidth="1"/>
    <col min="32" max="32" width="6.6640625" style="58" customWidth="1"/>
    <col min="33" max="33" width="6.83203125" style="58" customWidth="1"/>
    <col min="34" max="36" width="6.6640625" style="58" customWidth="1"/>
    <col min="37" max="39" width="6.83203125" style="58" customWidth="1"/>
    <col min="40" max="40" width="6.6640625" style="58" customWidth="1"/>
    <col min="41" max="41" width="6.83203125" style="58" customWidth="1"/>
    <col min="42" max="44" width="6.6640625" style="58" customWidth="1"/>
    <col min="45" max="47" width="6.83203125" style="58" customWidth="1"/>
    <col min="48" max="48" width="6.6640625" style="58" customWidth="1"/>
    <col min="49" max="49" width="6.83203125" style="58" customWidth="1"/>
    <col min="50" max="54" width="6.6640625" style="58" customWidth="1"/>
    <col min="55" max="55" width="83.6640625" style="59" customWidth="1"/>
    <col min="56" max="56" width="24.33203125" style="59" customWidth="1"/>
    <col min="57" max="57" width="83.6640625" style="59" customWidth="1"/>
    <col min="58" max="58" width="6.6640625" style="59" customWidth="1"/>
    <col min="59" max="16384" width="11.5" style="58"/>
  </cols>
  <sheetData>
    <row r="1" spans="1:67" ht="162" customHeight="1" thickBot="1">
      <c r="A1" s="183">
        <v>1</v>
      </c>
      <c r="B1" s="184">
        <v>1</v>
      </c>
      <c r="C1" s="185"/>
      <c r="D1" s="185"/>
      <c r="E1" s="185"/>
      <c r="F1" s="185"/>
      <c r="G1" s="186"/>
      <c r="H1" s="91">
        <v>4</v>
      </c>
      <c r="I1" s="149" t="s">
        <v>41</v>
      </c>
      <c r="J1" s="91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</row>
    <row r="2" spans="1:67" ht="25" customHeight="1">
      <c r="A2" s="118" t="s">
        <v>0</v>
      </c>
      <c r="B2" s="142" t="s">
        <v>22</v>
      </c>
      <c r="C2" s="137"/>
      <c r="D2" s="119"/>
      <c r="E2" s="309"/>
      <c r="F2" s="309"/>
      <c r="G2" s="310" t="s">
        <v>1</v>
      </c>
      <c r="H2" s="311"/>
      <c r="I2" s="311"/>
      <c r="J2" s="311"/>
      <c r="K2" s="311"/>
      <c r="L2" s="311"/>
      <c r="M2" s="311"/>
      <c r="N2" s="311"/>
      <c r="O2" s="312"/>
      <c r="P2" s="313"/>
      <c r="Q2" s="314"/>
      <c r="R2" s="312"/>
      <c r="S2" s="328" t="s">
        <v>2</v>
      </c>
      <c r="T2" s="343" t="s">
        <v>141</v>
      </c>
      <c r="U2" s="309"/>
      <c r="V2" s="309"/>
      <c r="W2" s="309"/>
      <c r="X2" s="310" t="s">
        <v>1</v>
      </c>
      <c r="Y2" s="311"/>
      <c r="Z2" s="311"/>
      <c r="AA2" s="311"/>
      <c r="AB2" s="311"/>
      <c r="AC2" s="311"/>
      <c r="AD2" s="311"/>
      <c r="AE2" s="311"/>
      <c r="AF2" s="312"/>
      <c r="AG2" s="313"/>
      <c r="AH2" s="314"/>
      <c r="AI2" s="312"/>
      <c r="AJ2" s="328" t="s">
        <v>2</v>
      </c>
      <c r="AK2" s="343" t="s">
        <v>142</v>
      </c>
      <c r="AL2" s="309"/>
      <c r="AM2" s="309"/>
      <c r="AN2" s="309"/>
      <c r="AO2" s="310" t="s">
        <v>1</v>
      </c>
      <c r="AP2" s="311"/>
      <c r="AQ2" s="311"/>
      <c r="AR2" s="311"/>
      <c r="AS2" s="311"/>
      <c r="AT2" s="311"/>
      <c r="AU2" s="311"/>
      <c r="AV2" s="311"/>
      <c r="AW2" s="312"/>
      <c r="AX2" s="313"/>
      <c r="AY2" s="314"/>
      <c r="AZ2" s="312"/>
      <c r="BA2" s="328" t="s">
        <v>2</v>
      </c>
      <c r="BB2" s="343" t="s">
        <v>143</v>
      </c>
      <c r="BC2" s="60"/>
      <c r="BD2" s="60"/>
      <c r="BE2" s="60"/>
      <c r="BF2" s="60"/>
    </row>
    <row r="3" spans="1:67" ht="25" customHeight="1">
      <c r="A3" s="132" t="s">
        <v>3</v>
      </c>
      <c r="B3" s="349" t="s">
        <v>137</v>
      </c>
      <c r="C3" s="316" t="s">
        <v>4</v>
      </c>
      <c r="D3" s="465">
        <v>0</v>
      </c>
      <c r="E3" s="350"/>
      <c r="F3" s="77"/>
      <c r="G3" s="316" t="s">
        <v>5</v>
      </c>
      <c r="H3" s="466" t="s">
        <v>140</v>
      </c>
      <c r="I3" s="467"/>
      <c r="J3" s="337"/>
      <c r="K3" s="337"/>
      <c r="L3" s="77"/>
      <c r="M3" s="318"/>
      <c r="N3" s="316" t="s">
        <v>6</v>
      </c>
      <c r="O3" s="465" t="s">
        <v>144</v>
      </c>
      <c r="P3" s="465"/>
      <c r="Q3" s="337"/>
      <c r="R3" s="337"/>
      <c r="S3" s="332"/>
      <c r="T3" s="339"/>
      <c r="U3" s="335">
        <v>0</v>
      </c>
      <c r="V3" s="350"/>
      <c r="W3" s="77"/>
      <c r="X3" s="316" t="s">
        <v>5</v>
      </c>
      <c r="Y3" s="335" t="s">
        <v>140</v>
      </c>
      <c r="Z3" s="335"/>
      <c r="AA3" s="337"/>
      <c r="AB3" s="337"/>
      <c r="AC3" s="77"/>
      <c r="AD3" s="318"/>
      <c r="AE3" s="316" t="s">
        <v>6</v>
      </c>
      <c r="AF3" s="332" t="s">
        <v>144</v>
      </c>
      <c r="AG3" s="332"/>
      <c r="AH3" s="337"/>
      <c r="AI3" s="337"/>
      <c r="AJ3" s="332"/>
      <c r="AK3" s="339"/>
      <c r="AL3" s="332">
        <v>0</v>
      </c>
      <c r="AM3" s="350"/>
      <c r="AN3" s="77"/>
      <c r="AO3" s="316" t="s">
        <v>5</v>
      </c>
      <c r="AP3" s="335" t="s">
        <v>140</v>
      </c>
      <c r="AQ3" s="335"/>
      <c r="AR3" s="337"/>
      <c r="AS3" s="337"/>
      <c r="AT3" s="77"/>
      <c r="AU3" s="318"/>
      <c r="AV3" s="316" t="s">
        <v>6</v>
      </c>
      <c r="AW3" s="332" t="s">
        <v>144</v>
      </c>
      <c r="AX3" s="332"/>
      <c r="AY3" s="337"/>
      <c r="AZ3" s="337"/>
      <c r="BA3" s="332"/>
      <c r="BB3" s="339"/>
      <c r="BC3" s="60"/>
      <c r="BD3" s="60"/>
      <c r="BE3" s="60"/>
      <c r="BF3" s="60"/>
    </row>
    <row r="4" spans="1:67" ht="14" customHeight="1" thickBot="1">
      <c r="A4" s="115"/>
      <c r="B4" s="464" t="s">
        <v>138</v>
      </c>
      <c r="C4" s="146"/>
      <c r="D4" s="146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3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3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3"/>
      <c r="BC4" s="60"/>
      <c r="BD4" s="60"/>
      <c r="BE4" s="60"/>
      <c r="BF4" s="60"/>
    </row>
    <row r="5" spans="1:67" ht="15" customHeight="1">
      <c r="A5" s="245" t="s">
        <v>7</v>
      </c>
      <c r="B5" s="246"/>
      <c r="C5" s="247"/>
      <c r="D5" s="359">
        <v>1</v>
      </c>
      <c r="E5" s="359">
        <v>2</v>
      </c>
      <c r="F5" s="359">
        <v>3</v>
      </c>
      <c r="G5" s="359">
        <v>4</v>
      </c>
      <c r="H5" s="359">
        <v>5</v>
      </c>
      <c r="I5" s="359">
        <v>6</v>
      </c>
      <c r="J5" s="359">
        <v>7</v>
      </c>
      <c r="K5" s="298"/>
      <c r="L5" s="298"/>
      <c r="M5" s="298"/>
      <c r="N5" s="298"/>
      <c r="O5" s="298"/>
      <c r="P5" s="298"/>
      <c r="Q5" s="298"/>
      <c r="R5" s="298"/>
      <c r="S5" s="298"/>
      <c r="T5" s="182">
        <v>7</v>
      </c>
      <c r="U5" s="90">
        <v>1</v>
      </c>
      <c r="V5" s="90">
        <v>5</v>
      </c>
      <c r="W5" s="90">
        <v>6</v>
      </c>
      <c r="X5" s="90">
        <v>2</v>
      </c>
      <c r="Y5" s="90"/>
      <c r="Z5" s="90">
        <v>7</v>
      </c>
      <c r="AA5" s="90">
        <v>1</v>
      </c>
      <c r="AB5" s="90">
        <v>6</v>
      </c>
      <c r="AC5" s="90">
        <v>1</v>
      </c>
      <c r="AD5" s="90"/>
      <c r="AE5" s="90">
        <v>1</v>
      </c>
      <c r="AF5" s="90"/>
      <c r="AG5" s="90"/>
      <c r="AH5" s="91"/>
      <c r="AI5" s="92">
        <v>2</v>
      </c>
      <c r="AJ5" s="91"/>
      <c r="AK5" s="91">
        <v>2</v>
      </c>
      <c r="AL5" s="91"/>
      <c r="AM5" s="90"/>
      <c r="AN5" s="91"/>
      <c r="AO5" s="90"/>
      <c r="AP5" s="90"/>
      <c r="AQ5" s="90">
        <v>1</v>
      </c>
      <c r="AR5" s="91"/>
      <c r="AS5" s="91">
        <v>2</v>
      </c>
      <c r="AT5" s="91"/>
      <c r="AU5" s="90"/>
      <c r="AV5" s="91"/>
      <c r="AW5" s="90"/>
      <c r="AX5" s="90"/>
      <c r="AY5" s="90"/>
      <c r="AZ5" s="91"/>
      <c r="BA5" s="91"/>
      <c r="BB5" s="91">
        <v>3</v>
      </c>
      <c r="BC5" s="90"/>
      <c r="BD5" s="91"/>
      <c r="BE5" s="90"/>
      <c r="BF5" s="90"/>
      <c r="BG5" s="90"/>
      <c r="BH5" s="91"/>
      <c r="BI5" s="91"/>
      <c r="BJ5" s="91"/>
      <c r="BK5" s="90"/>
      <c r="BL5" s="91"/>
      <c r="BM5" s="90"/>
      <c r="BN5" s="90"/>
      <c r="BO5" s="90"/>
    </row>
    <row r="6" spans="1:67" ht="15" customHeight="1">
      <c r="A6" s="444" t="s">
        <v>8</v>
      </c>
      <c r="B6" s="274" t="s">
        <v>9</v>
      </c>
      <c r="C6" s="275" t="s">
        <v>10</v>
      </c>
      <c r="D6" s="360">
        <v>4.4000000000000004</v>
      </c>
      <c r="E6" s="360">
        <v>4.4000000000000004</v>
      </c>
      <c r="F6" s="360">
        <v>4.4000000000000004</v>
      </c>
      <c r="G6" s="360">
        <v>4.4000000000000004</v>
      </c>
      <c r="H6" s="360">
        <v>4.4000000000000004</v>
      </c>
      <c r="I6" s="360">
        <v>6.6</v>
      </c>
      <c r="J6" s="360">
        <v>8.8000000000000007</v>
      </c>
      <c r="K6" s="188"/>
      <c r="L6" s="188"/>
      <c r="M6" s="188"/>
      <c r="N6" s="188"/>
      <c r="O6" s="188"/>
      <c r="P6" s="188"/>
      <c r="Q6" s="188"/>
      <c r="R6" s="188"/>
      <c r="S6" s="188"/>
      <c r="T6" s="276" t="s">
        <v>11</v>
      </c>
      <c r="U6" s="70"/>
      <c r="V6" s="70"/>
      <c r="W6" s="70"/>
      <c r="X6" s="70"/>
      <c r="Y6" s="70"/>
      <c r="Z6" s="70"/>
      <c r="AA6" s="70"/>
      <c r="AB6" s="70"/>
      <c r="AC6" s="70"/>
      <c r="AD6" s="70"/>
      <c r="AE6" s="59"/>
      <c r="AF6" s="70"/>
      <c r="AG6" s="70"/>
      <c r="AH6" s="65"/>
      <c r="AI6" s="65"/>
      <c r="AJ6" s="65"/>
      <c r="AK6" s="65"/>
      <c r="AL6" s="65"/>
      <c r="AM6" s="70"/>
      <c r="AN6" s="65"/>
      <c r="AO6" s="70"/>
      <c r="AP6" s="70"/>
      <c r="AQ6" s="70"/>
      <c r="AR6" s="65"/>
      <c r="AS6" s="65"/>
      <c r="AT6" s="65"/>
      <c r="AU6" s="70"/>
      <c r="AV6" s="65"/>
      <c r="AW6" s="70"/>
      <c r="AX6" s="70"/>
      <c r="AY6" s="70"/>
      <c r="AZ6" s="65"/>
      <c r="BA6" s="65"/>
      <c r="BB6" s="65"/>
      <c r="BC6" s="70"/>
      <c r="BD6" s="65"/>
      <c r="BE6" s="70"/>
      <c r="BF6" s="70"/>
      <c r="BG6" s="70"/>
      <c r="BH6" s="65"/>
      <c r="BI6" s="65"/>
      <c r="BJ6" s="65"/>
      <c r="BK6" s="70"/>
      <c r="BL6" s="65"/>
      <c r="BM6" s="70"/>
      <c r="BN6" s="70"/>
      <c r="BO6" s="70"/>
    </row>
    <row r="7" spans="1:67" ht="15" customHeight="1">
      <c r="A7" s="398"/>
      <c r="B7" s="274" t="s">
        <v>12</v>
      </c>
      <c r="C7" s="275" t="s">
        <v>13</v>
      </c>
      <c r="D7" s="360">
        <v>60</v>
      </c>
      <c r="E7" s="360">
        <v>60</v>
      </c>
      <c r="F7" s="360">
        <v>60</v>
      </c>
      <c r="G7" s="360">
        <v>5</v>
      </c>
      <c r="H7" s="360">
        <v>60</v>
      </c>
      <c r="I7" s="360">
        <v>60</v>
      </c>
      <c r="J7" s="360">
        <v>60</v>
      </c>
      <c r="K7" s="188"/>
      <c r="L7" s="188"/>
      <c r="M7" s="188"/>
      <c r="N7" s="188"/>
      <c r="O7" s="188"/>
      <c r="P7" s="188"/>
      <c r="Q7" s="188"/>
      <c r="R7" s="188"/>
      <c r="S7" s="188"/>
      <c r="T7" s="293"/>
      <c r="U7" s="65"/>
      <c r="V7" s="62"/>
      <c r="W7" s="65"/>
      <c r="X7" s="65"/>
      <c r="Y7" s="65"/>
      <c r="Z7" s="65"/>
      <c r="AA7" s="65"/>
      <c r="AB7" s="65"/>
      <c r="AC7" s="65"/>
      <c r="AD7" s="65"/>
      <c r="AE7" s="60"/>
      <c r="AF7" s="60"/>
      <c r="AG7" s="59"/>
      <c r="AH7" s="140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</row>
    <row r="8" spans="1:67" ht="15" hidden="1" customHeight="1">
      <c r="A8" s="399" t="s">
        <v>14</v>
      </c>
      <c r="B8" s="250" t="s">
        <v>15</v>
      </c>
      <c r="C8" s="251"/>
      <c r="D8" s="361"/>
      <c r="E8" s="361"/>
      <c r="F8" s="361"/>
      <c r="G8" s="361"/>
      <c r="H8" s="361"/>
      <c r="I8" s="361"/>
      <c r="J8" s="361"/>
      <c r="K8" s="214"/>
      <c r="L8" s="214"/>
      <c r="M8" s="214"/>
      <c r="N8" s="214"/>
      <c r="O8" s="214"/>
      <c r="P8" s="214"/>
      <c r="Q8" s="214"/>
      <c r="R8" s="214"/>
      <c r="S8" s="214"/>
      <c r="T8" s="293"/>
      <c r="U8" s="59"/>
      <c r="V8" s="65"/>
      <c r="W8" s="68"/>
      <c r="X8" s="65"/>
      <c r="Y8" s="68"/>
      <c r="Z8" s="65"/>
      <c r="AA8" s="68"/>
      <c r="AB8" s="65"/>
      <c r="AC8" s="68"/>
      <c r="AD8" s="65"/>
      <c r="AE8" s="65"/>
      <c r="AF8" s="70"/>
      <c r="AG8" s="70"/>
      <c r="AH8" s="59"/>
      <c r="AJ8" s="59"/>
      <c r="AK8" s="59"/>
      <c r="AL8" s="59"/>
      <c r="AM8" s="65"/>
      <c r="AN8" s="59"/>
      <c r="AO8" s="68"/>
      <c r="AP8" s="74"/>
      <c r="AQ8" s="74"/>
      <c r="AR8" s="59"/>
      <c r="AS8" s="59"/>
      <c r="AT8" s="59"/>
      <c r="AU8" s="65"/>
      <c r="AV8" s="59"/>
      <c r="AW8" s="68"/>
      <c r="AX8" s="74"/>
      <c r="AY8" s="74"/>
      <c r="AZ8" s="59"/>
      <c r="BA8" s="59"/>
      <c r="BB8" s="59"/>
      <c r="BC8" s="65"/>
      <c r="BE8" s="68"/>
      <c r="BF8" s="74"/>
      <c r="BG8" s="74"/>
      <c r="BH8" s="59"/>
      <c r="BI8" s="59"/>
      <c r="BJ8" s="59"/>
      <c r="BK8" s="65"/>
      <c r="BL8" s="59"/>
      <c r="BM8" s="68"/>
      <c r="BN8" s="74"/>
      <c r="BO8" s="74"/>
    </row>
    <row r="9" spans="1:67" ht="15" hidden="1" customHeight="1">
      <c r="A9" s="397"/>
      <c r="B9" s="274" t="s">
        <v>17</v>
      </c>
      <c r="C9" s="275" t="s">
        <v>18</v>
      </c>
      <c r="D9" s="362"/>
      <c r="E9" s="362"/>
      <c r="F9" s="362"/>
      <c r="G9" s="362"/>
      <c r="H9" s="362"/>
      <c r="I9" s="362"/>
      <c r="J9" s="362"/>
      <c r="K9" s="226"/>
      <c r="L9" s="226"/>
      <c r="M9" s="226"/>
      <c r="N9" s="226"/>
      <c r="O9" s="226"/>
      <c r="P9" s="226"/>
      <c r="Q9" s="226"/>
      <c r="R9" s="226"/>
      <c r="S9" s="226"/>
      <c r="T9" s="293"/>
      <c r="U9" s="75"/>
      <c r="V9" s="73"/>
      <c r="W9" s="68"/>
      <c r="X9" s="73"/>
      <c r="Y9" s="68"/>
      <c r="Z9" s="73"/>
      <c r="AA9" s="68"/>
      <c r="AB9" s="73"/>
      <c r="AC9" s="68"/>
      <c r="AD9" s="65"/>
      <c r="AE9" s="65"/>
      <c r="AF9" s="65"/>
      <c r="AG9" s="65"/>
      <c r="AH9" s="59"/>
      <c r="AJ9" s="59"/>
      <c r="AK9" s="59"/>
      <c r="AL9" s="59"/>
      <c r="AM9" s="73"/>
      <c r="AN9" s="59"/>
      <c r="AO9" s="68"/>
      <c r="AP9" s="76"/>
      <c r="AQ9" s="70"/>
      <c r="AR9" s="59"/>
      <c r="AS9" s="59"/>
      <c r="AT9" s="59"/>
      <c r="AU9" s="73"/>
      <c r="AV9" s="59"/>
      <c r="AW9" s="68"/>
      <c r="AX9" s="76"/>
      <c r="AY9" s="70"/>
      <c r="AZ9" s="59"/>
      <c r="BA9" s="59"/>
      <c r="BB9" s="59"/>
      <c r="BC9" s="73"/>
      <c r="BE9" s="68"/>
      <c r="BF9" s="76"/>
      <c r="BG9" s="70"/>
      <c r="BH9" s="59"/>
      <c r="BI9" s="59"/>
      <c r="BJ9" s="59"/>
      <c r="BK9" s="73"/>
      <c r="BL9" s="59"/>
      <c r="BM9" s="68"/>
      <c r="BN9" s="76"/>
      <c r="BO9" s="70"/>
    </row>
    <row r="10" spans="1:67" ht="15" hidden="1" customHeight="1">
      <c r="A10" s="400"/>
      <c r="B10" s="274" t="s">
        <v>19</v>
      </c>
      <c r="C10" s="275" t="s">
        <v>20</v>
      </c>
      <c r="D10" s="371"/>
      <c r="E10" s="371"/>
      <c r="F10" s="371"/>
      <c r="G10" s="371"/>
      <c r="H10" s="371"/>
      <c r="I10" s="371"/>
      <c r="J10" s="371"/>
      <c r="K10" s="353"/>
      <c r="L10" s="353"/>
      <c r="M10" s="353"/>
      <c r="N10" s="353"/>
      <c r="O10" s="353"/>
      <c r="P10" s="353"/>
      <c r="Q10" s="353"/>
      <c r="R10" s="353"/>
      <c r="S10" s="353"/>
      <c r="T10" s="293"/>
      <c r="U10" s="62"/>
      <c r="V10" s="62"/>
      <c r="W10" s="68"/>
      <c r="X10" s="62"/>
      <c r="Y10" s="68"/>
      <c r="Z10" s="62"/>
      <c r="AA10" s="68"/>
      <c r="AB10" s="62"/>
      <c r="AC10" s="68"/>
      <c r="AD10" s="73"/>
      <c r="AE10" s="65"/>
      <c r="AF10" s="65"/>
      <c r="AG10" s="65"/>
      <c r="AH10" s="59"/>
      <c r="AI10" s="64"/>
      <c r="AJ10" s="59"/>
      <c r="AK10" s="59"/>
      <c r="AL10" s="59"/>
      <c r="AM10" s="62"/>
      <c r="AN10" s="59"/>
      <c r="AO10" s="68"/>
      <c r="AP10" s="65"/>
      <c r="AQ10" s="65"/>
      <c r="AR10" s="59"/>
      <c r="AS10" s="59"/>
      <c r="AT10" s="59"/>
      <c r="AU10" s="62"/>
      <c r="AV10" s="59"/>
      <c r="AW10" s="68"/>
      <c r="AX10" s="65"/>
      <c r="AY10" s="65"/>
      <c r="AZ10" s="59"/>
      <c r="BA10" s="59"/>
      <c r="BB10" s="59"/>
      <c r="BC10" s="62"/>
      <c r="BE10" s="68"/>
      <c r="BF10" s="65"/>
      <c r="BG10" s="65"/>
      <c r="BH10" s="59"/>
      <c r="BI10" s="59"/>
      <c r="BJ10" s="59"/>
      <c r="BK10" s="62"/>
      <c r="BL10" s="59"/>
      <c r="BM10" s="68"/>
      <c r="BN10" s="65"/>
      <c r="BO10" s="65"/>
    </row>
    <row r="11" spans="1:67" ht="15" hidden="1" customHeight="1">
      <c r="A11" s="400"/>
      <c r="B11" s="250" t="s">
        <v>21</v>
      </c>
      <c r="C11" s="251"/>
      <c r="D11" s="363">
        <v>0</v>
      </c>
      <c r="E11" s="363">
        <v>0</v>
      </c>
      <c r="F11" s="363">
        <v>0</v>
      </c>
      <c r="G11" s="363">
        <v>0</v>
      </c>
      <c r="H11" s="363">
        <v>0</v>
      </c>
      <c r="I11" s="363">
        <v>0</v>
      </c>
      <c r="J11" s="363">
        <v>0</v>
      </c>
      <c r="K11" s="352"/>
      <c r="L11" s="352"/>
      <c r="M11" s="352"/>
      <c r="N11" s="352"/>
      <c r="O11" s="352"/>
      <c r="P11" s="352"/>
      <c r="Q11" s="352"/>
      <c r="R11" s="352"/>
      <c r="S11" s="352"/>
      <c r="T11" s="293"/>
      <c r="U11" s="69"/>
      <c r="V11" s="69"/>
      <c r="W11" s="68"/>
      <c r="X11" s="69"/>
      <c r="Y11" s="68"/>
      <c r="Z11" s="69"/>
      <c r="AA11" s="68"/>
      <c r="AB11" s="69"/>
      <c r="AC11" s="68"/>
      <c r="AD11" s="73"/>
      <c r="AE11" s="65"/>
      <c r="AF11" s="65"/>
      <c r="AG11" s="65"/>
      <c r="AH11" s="59"/>
      <c r="AJ11" s="59"/>
      <c r="AK11" s="59"/>
      <c r="AL11" s="59"/>
      <c r="AM11" s="69"/>
      <c r="AN11" s="59"/>
      <c r="AO11" s="68"/>
      <c r="AP11" s="78"/>
      <c r="AQ11" s="78"/>
      <c r="AR11" s="59"/>
      <c r="AS11" s="59"/>
      <c r="AT11" s="59"/>
      <c r="AU11" s="69"/>
      <c r="AV11" s="59"/>
      <c r="AW11" s="68"/>
      <c r="AX11" s="78"/>
      <c r="AY11" s="78"/>
      <c r="AZ11" s="59"/>
      <c r="BA11" s="59"/>
      <c r="BB11" s="59"/>
      <c r="BC11" s="69"/>
      <c r="BE11" s="68"/>
      <c r="BF11" s="78"/>
      <c r="BG11" s="78"/>
      <c r="BH11" s="59"/>
      <c r="BI11" s="59"/>
      <c r="BJ11" s="59"/>
      <c r="BK11" s="69"/>
      <c r="BL11" s="59"/>
      <c r="BM11" s="68"/>
      <c r="BN11" s="78"/>
      <c r="BO11" s="78"/>
    </row>
    <row r="12" spans="1:67" ht="15" hidden="1" customHeight="1">
      <c r="A12" s="401" t="b">
        <v>0</v>
      </c>
      <c r="B12" s="250" t="s">
        <v>22</v>
      </c>
      <c r="C12" s="251"/>
      <c r="D12" s="363">
        <v>0</v>
      </c>
      <c r="E12" s="363">
        <v>0</v>
      </c>
      <c r="F12" s="363">
        <v>0</v>
      </c>
      <c r="G12" s="363">
        <v>0</v>
      </c>
      <c r="H12" s="363">
        <v>0</v>
      </c>
      <c r="I12" s="363">
        <v>0</v>
      </c>
      <c r="J12" s="363">
        <v>0</v>
      </c>
      <c r="K12" s="352"/>
      <c r="L12" s="352"/>
      <c r="M12" s="352"/>
      <c r="N12" s="352"/>
      <c r="O12" s="352"/>
      <c r="P12" s="352"/>
      <c r="Q12" s="352"/>
      <c r="R12" s="352"/>
      <c r="S12" s="352"/>
      <c r="T12" s="293"/>
      <c r="U12" s="72"/>
      <c r="V12" s="59"/>
      <c r="W12" s="68"/>
      <c r="X12" s="59"/>
      <c r="Y12" s="68"/>
      <c r="Z12" s="59"/>
      <c r="AA12" s="68"/>
      <c r="AB12" s="59"/>
      <c r="AC12" s="68"/>
      <c r="AD12" s="73"/>
      <c r="AE12" s="65"/>
      <c r="AF12" s="65"/>
      <c r="AG12" s="65"/>
      <c r="AH12" s="59"/>
      <c r="AJ12" s="59"/>
      <c r="AK12" s="59"/>
      <c r="AL12" s="59"/>
      <c r="AM12" s="59"/>
      <c r="AN12" s="59"/>
      <c r="AO12" s="68"/>
      <c r="AP12" s="78"/>
      <c r="AQ12" s="78"/>
      <c r="AR12" s="59"/>
      <c r="AS12" s="59"/>
      <c r="AT12" s="59"/>
      <c r="AU12" s="59"/>
      <c r="AV12" s="59"/>
      <c r="AW12" s="68"/>
      <c r="AX12" s="78"/>
      <c r="AY12" s="78"/>
      <c r="AZ12" s="59"/>
      <c r="BA12" s="59"/>
      <c r="BB12" s="59"/>
      <c r="BE12" s="68"/>
      <c r="BF12" s="78"/>
      <c r="BG12" s="78"/>
      <c r="BH12" s="59"/>
      <c r="BI12" s="59"/>
      <c r="BJ12" s="59"/>
      <c r="BK12" s="59"/>
      <c r="BL12" s="59"/>
      <c r="BM12" s="68"/>
      <c r="BN12" s="78"/>
      <c r="BO12" s="78"/>
    </row>
    <row r="13" spans="1:67" ht="15" customHeight="1">
      <c r="A13" s="399" t="s">
        <v>23</v>
      </c>
      <c r="B13" s="250" t="s">
        <v>15</v>
      </c>
      <c r="C13" s="251"/>
      <c r="D13" s="364" t="s">
        <v>139</v>
      </c>
      <c r="E13" s="364" t="s">
        <v>122</v>
      </c>
      <c r="F13" s="364" t="s">
        <v>24</v>
      </c>
      <c r="G13" s="364" t="s">
        <v>25</v>
      </c>
      <c r="H13" s="364" t="s">
        <v>139</v>
      </c>
      <c r="I13" s="364" t="s">
        <v>139</v>
      </c>
      <c r="J13" s="364" t="s">
        <v>139</v>
      </c>
      <c r="K13" s="215"/>
      <c r="L13" s="215"/>
      <c r="M13" s="215"/>
      <c r="N13" s="215"/>
      <c r="O13" s="215"/>
      <c r="P13" s="215"/>
      <c r="Q13" s="215"/>
      <c r="R13" s="215"/>
      <c r="S13" s="215"/>
      <c r="T13" s="293"/>
      <c r="U13" s="76"/>
      <c r="V13" s="70"/>
      <c r="W13" s="76"/>
      <c r="X13" s="59"/>
      <c r="Y13" s="76"/>
      <c r="Z13" s="59"/>
      <c r="AA13" s="76"/>
      <c r="AC13" s="76"/>
      <c r="AD13" s="65"/>
      <c r="AE13" s="65"/>
      <c r="AF13" s="65"/>
      <c r="AG13" s="65"/>
      <c r="AH13" s="59"/>
      <c r="AI13" s="64"/>
      <c r="AJ13" s="59"/>
      <c r="AK13" s="59"/>
      <c r="AL13" s="59"/>
      <c r="AN13" s="59"/>
      <c r="AO13" s="76"/>
      <c r="AP13" s="76"/>
      <c r="AQ13" s="76"/>
      <c r="AR13" s="59"/>
      <c r="AS13" s="59"/>
      <c r="AT13" s="59"/>
      <c r="AV13" s="59"/>
      <c r="AW13" s="76"/>
      <c r="AX13" s="76"/>
      <c r="AY13" s="76"/>
      <c r="AZ13" s="59"/>
      <c r="BA13" s="59"/>
      <c r="BB13" s="59"/>
      <c r="BC13" s="58"/>
      <c r="BE13" s="76"/>
      <c r="BF13" s="76"/>
      <c r="BG13" s="76"/>
      <c r="BH13" s="59"/>
      <c r="BI13" s="59"/>
      <c r="BJ13" s="59"/>
      <c r="BL13" s="59"/>
      <c r="BM13" s="76"/>
      <c r="BN13" s="76"/>
      <c r="BO13" s="76"/>
    </row>
    <row r="14" spans="1:67" ht="15" customHeight="1">
      <c r="A14" s="402" t="s">
        <v>27</v>
      </c>
      <c r="B14" s="274" t="s">
        <v>17</v>
      </c>
      <c r="C14" s="275" t="s">
        <v>18</v>
      </c>
      <c r="D14" s="365">
        <v>97</v>
      </c>
      <c r="E14" s="365">
        <v>904</v>
      </c>
      <c r="F14" s="365">
        <v>65</v>
      </c>
      <c r="G14" s="365">
        <v>280</v>
      </c>
      <c r="H14" s="365">
        <v>97</v>
      </c>
      <c r="I14" s="365">
        <v>97</v>
      </c>
      <c r="J14" s="365">
        <v>97</v>
      </c>
      <c r="K14" s="213"/>
      <c r="L14" s="213"/>
      <c r="M14" s="213"/>
      <c r="N14" s="213"/>
      <c r="O14" s="213"/>
      <c r="P14" s="213"/>
      <c r="Q14" s="213"/>
      <c r="R14" s="213"/>
      <c r="S14" s="213"/>
      <c r="T14" s="293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59"/>
      <c r="AJ14" s="59"/>
      <c r="AK14" s="59"/>
      <c r="AL14" s="59"/>
      <c r="AM14" s="65"/>
      <c r="AN14" s="59"/>
      <c r="AO14" s="65"/>
      <c r="AP14" s="65"/>
      <c r="AQ14" s="65"/>
      <c r="AR14" s="59"/>
      <c r="AS14" s="59"/>
      <c r="AT14" s="59"/>
      <c r="AU14" s="65"/>
      <c r="AV14" s="59"/>
      <c r="AW14" s="65"/>
      <c r="AX14" s="65"/>
      <c r="AY14" s="65"/>
      <c r="AZ14" s="59"/>
      <c r="BA14" s="59"/>
      <c r="BB14" s="59"/>
      <c r="BC14" s="65"/>
      <c r="BE14" s="65"/>
      <c r="BF14" s="65"/>
      <c r="BG14" s="65"/>
      <c r="BH14" s="59"/>
      <c r="BI14" s="59"/>
      <c r="BJ14" s="59"/>
      <c r="BK14" s="65"/>
      <c r="BL14" s="59"/>
      <c r="BM14" s="65"/>
      <c r="BN14" s="65"/>
      <c r="BO14" s="65"/>
    </row>
    <row r="15" spans="1:67" ht="15" hidden="1" customHeight="1">
      <c r="A15" s="400"/>
      <c r="B15" s="274" t="s">
        <v>19</v>
      </c>
      <c r="C15" s="275" t="s">
        <v>20</v>
      </c>
      <c r="D15" s="360">
        <v>0</v>
      </c>
      <c r="E15" s="360">
        <v>0</v>
      </c>
      <c r="F15" s="360">
        <v>0</v>
      </c>
      <c r="G15" s="360">
        <v>0</v>
      </c>
      <c r="H15" s="360">
        <v>0</v>
      </c>
      <c r="I15" s="360">
        <v>0</v>
      </c>
      <c r="J15" s="360">
        <v>0</v>
      </c>
      <c r="K15" s="188"/>
      <c r="L15" s="188"/>
      <c r="M15" s="188"/>
      <c r="N15" s="188"/>
      <c r="O15" s="188"/>
      <c r="P15" s="188"/>
      <c r="Q15" s="188"/>
      <c r="R15" s="188"/>
      <c r="S15" s="188"/>
      <c r="T15" s="293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59"/>
      <c r="AJ15" s="59"/>
      <c r="AK15" s="59"/>
      <c r="AL15" s="59"/>
      <c r="AM15" s="65"/>
      <c r="AN15" s="59"/>
      <c r="AO15" s="65"/>
      <c r="AP15" s="65"/>
      <c r="AQ15" s="65"/>
      <c r="AR15" s="59"/>
      <c r="AS15" s="59"/>
      <c r="AT15" s="59"/>
      <c r="AU15" s="65"/>
      <c r="AV15" s="59"/>
      <c r="AW15" s="65"/>
      <c r="AX15" s="65"/>
      <c r="AY15" s="65"/>
      <c r="AZ15" s="59"/>
      <c r="BA15" s="59"/>
      <c r="BB15" s="59"/>
      <c r="BC15" s="65"/>
      <c r="BE15" s="65"/>
      <c r="BF15" s="65"/>
      <c r="BG15" s="65"/>
      <c r="BH15" s="59"/>
      <c r="BI15" s="59"/>
      <c r="BJ15" s="59"/>
      <c r="BK15" s="65"/>
      <c r="BL15" s="59"/>
      <c r="BM15" s="65"/>
      <c r="BN15" s="65"/>
      <c r="BO15" s="65"/>
    </row>
    <row r="16" spans="1:67" ht="15" hidden="1" customHeight="1">
      <c r="A16" s="400"/>
      <c r="B16" s="250" t="s">
        <v>21</v>
      </c>
      <c r="C16" s="251"/>
      <c r="D16" s="366">
        <v>2</v>
      </c>
      <c r="E16" s="366">
        <v>7</v>
      </c>
      <c r="F16" s="366">
        <v>1</v>
      </c>
      <c r="G16" s="366">
        <v>6</v>
      </c>
      <c r="H16" s="366">
        <v>2</v>
      </c>
      <c r="I16" s="366">
        <v>2</v>
      </c>
      <c r="J16" s="366">
        <v>2</v>
      </c>
      <c r="K16" s="299"/>
      <c r="L16" s="299"/>
      <c r="M16" s="299"/>
      <c r="N16" s="299"/>
      <c r="O16" s="299"/>
      <c r="P16" s="299"/>
      <c r="Q16" s="299"/>
      <c r="R16" s="299"/>
      <c r="S16" s="299"/>
      <c r="T16" s="293"/>
      <c r="U16" s="73"/>
      <c r="V16" s="73"/>
      <c r="W16" s="73"/>
      <c r="X16" s="73"/>
      <c r="Y16" s="73"/>
      <c r="Z16" s="73"/>
      <c r="AA16" s="73"/>
      <c r="AB16" s="73"/>
      <c r="AC16" s="73"/>
      <c r="AD16" s="65"/>
      <c r="AE16" s="65"/>
      <c r="AF16" s="65"/>
      <c r="AG16" s="65"/>
      <c r="AH16" s="59"/>
      <c r="AJ16" s="59"/>
      <c r="AK16" s="59"/>
      <c r="AL16" s="59"/>
      <c r="AM16" s="73"/>
      <c r="AN16" s="59"/>
      <c r="AO16" s="73"/>
      <c r="AP16" s="73"/>
      <c r="AQ16" s="73"/>
      <c r="AR16" s="59"/>
      <c r="AS16" s="59"/>
      <c r="AT16" s="59"/>
      <c r="AU16" s="73"/>
      <c r="AV16" s="59"/>
      <c r="AW16" s="73"/>
      <c r="AX16" s="73"/>
      <c r="AY16" s="73"/>
      <c r="AZ16" s="59"/>
      <c r="BA16" s="59"/>
      <c r="BB16" s="59"/>
      <c r="BC16" s="73"/>
      <c r="BE16" s="73"/>
      <c r="BF16" s="73"/>
      <c r="BG16" s="73"/>
      <c r="BH16" s="59"/>
      <c r="BI16" s="59"/>
      <c r="BJ16" s="59"/>
      <c r="BK16" s="73"/>
      <c r="BL16" s="59"/>
      <c r="BM16" s="73"/>
      <c r="BN16" s="73"/>
      <c r="BO16" s="73"/>
    </row>
    <row r="17" spans="1:67" ht="15" hidden="1" customHeight="1">
      <c r="A17" s="401" t="b">
        <v>1</v>
      </c>
      <c r="B17" s="250" t="s">
        <v>22</v>
      </c>
      <c r="C17" s="251"/>
      <c r="D17" s="366">
        <v>3</v>
      </c>
      <c r="E17" s="366">
        <v>14</v>
      </c>
      <c r="F17" s="366">
        <v>1</v>
      </c>
      <c r="G17" s="366">
        <v>12</v>
      </c>
      <c r="H17" s="366">
        <v>3</v>
      </c>
      <c r="I17" s="366">
        <v>3</v>
      </c>
      <c r="J17" s="366">
        <v>3</v>
      </c>
      <c r="K17" s="299"/>
      <c r="L17" s="299"/>
      <c r="M17" s="299"/>
      <c r="N17" s="299"/>
      <c r="O17" s="299"/>
      <c r="P17" s="299"/>
      <c r="Q17" s="299"/>
      <c r="R17" s="299"/>
      <c r="S17" s="299"/>
      <c r="T17" s="293"/>
      <c r="U17" s="65"/>
      <c r="V17" s="65"/>
      <c r="W17" s="59"/>
      <c r="X17" s="65"/>
      <c r="Y17" s="59"/>
      <c r="Z17" s="65"/>
      <c r="AB17" s="65"/>
      <c r="AD17" s="65"/>
      <c r="AE17" s="65"/>
      <c r="AF17" s="65"/>
      <c r="AG17" s="65"/>
      <c r="AH17" s="59"/>
      <c r="AJ17" s="59"/>
      <c r="AK17" s="59"/>
      <c r="AL17" s="59"/>
      <c r="AM17" s="65"/>
      <c r="AN17" s="59"/>
      <c r="AO17" s="65"/>
      <c r="AP17" s="65"/>
      <c r="AQ17" s="65"/>
      <c r="AR17" s="59"/>
      <c r="AS17" s="59"/>
      <c r="AT17" s="59"/>
      <c r="AU17" s="65"/>
      <c r="AV17" s="59"/>
      <c r="AW17" s="65"/>
      <c r="AX17" s="65"/>
      <c r="AY17" s="65"/>
      <c r="AZ17" s="59"/>
      <c r="BA17" s="59"/>
      <c r="BB17" s="59"/>
      <c r="BC17" s="65"/>
      <c r="BE17" s="65"/>
      <c r="BF17" s="65"/>
      <c r="BG17" s="65"/>
      <c r="BH17" s="59"/>
      <c r="BI17" s="59"/>
      <c r="BJ17" s="59"/>
      <c r="BK17" s="65"/>
      <c r="BL17" s="59"/>
      <c r="BM17" s="65"/>
      <c r="BN17" s="65"/>
      <c r="BO17" s="65"/>
    </row>
    <row r="18" spans="1:67" ht="15" customHeight="1">
      <c r="A18" s="399" t="s">
        <v>28</v>
      </c>
      <c r="B18" s="250" t="s">
        <v>15</v>
      </c>
      <c r="C18" s="251"/>
      <c r="D18" s="361" t="s">
        <v>35</v>
      </c>
      <c r="E18" s="361" t="s">
        <v>35</v>
      </c>
      <c r="F18" s="361" t="s">
        <v>35</v>
      </c>
      <c r="G18" s="361" t="s">
        <v>35</v>
      </c>
      <c r="H18" s="361" t="s">
        <v>35</v>
      </c>
      <c r="I18" s="361" t="s">
        <v>35</v>
      </c>
      <c r="J18" s="361" t="s">
        <v>35</v>
      </c>
      <c r="K18" s="214"/>
      <c r="L18" s="214"/>
      <c r="M18" s="214"/>
      <c r="N18" s="214"/>
      <c r="O18" s="214"/>
      <c r="P18" s="214"/>
      <c r="Q18" s="214"/>
      <c r="R18" s="214"/>
      <c r="S18" s="214"/>
      <c r="T18" s="293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65"/>
      <c r="AF18" s="65"/>
      <c r="AG18" s="65"/>
      <c r="AH18" s="59"/>
      <c r="AJ18" s="59"/>
      <c r="AK18" s="59"/>
      <c r="AL18" s="59"/>
      <c r="AM18" s="70"/>
      <c r="AN18" s="59"/>
      <c r="AO18" s="70"/>
      <c r="AP18" s="70"/>
      <c r="AR18" s="59"/>
      <c r="AS18" s="59"/>
      <c r="AT18" s="59"/>
      <c r="AU18" s="70"/>
      <c r="AV18" s="59"/>
      <c r="AW18" s="70"/>
      <c r="AX18" s="70"/>
      <c r="AZ18" s="59"/>
      <c r="BA18" s="59"/>
      <c r="BB18" s="59"/>
      <c r="BC18" s="70"/>
      <c r="BE18" s="70"/>
      <c r="BF18" s="70"/>
      <c r="BH18" s="59"/>
      <c r="BI18" s="59"/>
      <c r="BJ18" s="59"/>
      <c r="BK18" s="70"/>
      <c r="BL18" s="59"/>
      <c r="BM18" s="70"/>
      <c r="BN18" s="70"/>
    </row>
    <row r="19" spans="1:67" ht="15" customHeight="1">
      <c r="A19" s="402" t="s">
        <v>30</v>
      </c>
      <c r="B19" s="274" t="s">
        <v>17</v>
      </c>
      <c r="C19" s="275" t="s">
        <v>18</v>
      </c>
      <c r="D19" s="367">
        <v>46.9</v>
      </c>
      <c r="E19" s="367">
        <v>46.9</v>
      </c>
      <c r="F19" s="367">
        <v>46.9</v>
      </c>
      <c r="G19" s="367">
        <v>46.9</v>
      </c>
      <c r="H19" s="367">
        <v>46.9</v>
      </c>
      <c r="I19" s="367">
        <v>46.9</v>
      </c>
      <c r="J19" s="367">
        <v>46.9</v>
      </c>
      <c r="K19" s="189"/>
      <c r="L19" s="189"/>
      <c r="M19" s="189"/>
      <c r="N19" s="189"/>
      <c r="O19" s="189"/>
      <c r="P19" s="189"/>
      <c r="Q19" s="189"/>
      <c r="R19" s="189"/>
      <c r="S19" s="189"/>
      <c r="T19" s="293"/>
      <c r="U19" s="73"/>
      <c r="V19" s="73"/>
      <c r="W19" s="73"/>
      <c r="X19" s="73"/>
      <c r="Y19" s="73"/>
      <c r="Z19" s="73"/>
      <c r="AA19" s="73"/>
      <c r="AB19" s="73"/>
      <c r="AC19" s="73"/>
      <c r="AD19" s="70"/>
      <c r="AE19" s="65"/>
      <c r="AF19" s="65"/>
      <c r="AG19" s="65"/>
      <c r="AH19" s="65"/>
      <c r="AI19" s="65"/>
      <c r="AJ19" s="65"/>
      <c r="AK19" s="65"/>
      <c r="AL19" s="65"/>
      <c r="AM19" s="73"/>
      <c r="AN19" s="65"/>
      <c r="AO19" s="73"/>
      <c r="AP19" s="73"/>
      <c r="AR19" s="65"/>
      <c r="AS19" s="65"/>
      <c r="AT19" s="65"/>
      <c r="AU19" s="73"/>
      <c r="AV19" s="65"/>
      <c r="AW19" s="73"/>
      <c r="AX19" s="73"/>
      <c r="AZ19" s="65"/>
      <c r="BA19" s="65"/>
      <c r="BB19" s="65"/>
      <c r="BC19" s="73"/>
      <c r="BD19" s="65"/>
      <c r="BE19" s="73"/>
      <c r="BF19" s="73"/>
      <c r="BH19" s="65"/>
      <c r="BI19" s="65"/>
      <c r="BJ19" s="65"/>
      <c r="BK19" s="73"/>
      <c r="BL19" s="65"/>
      <c r="BM19" s="73"/>
      <c r="BN19" s="73"/>
    </row>
    <row r="20" spans="1:67" ht="15" hidden="1" customHeight="1">
      <c r="A20" s="400"/>
      <c r="B20" s="274" t="s">
        <v>19</v>
      </c>
      <c r="C20" s="275" t="s">
        <v>20</v>
      </c>
      <c r="D20" s="360">
        <v>-0.36</v>
      </c>
      <c r="E20" s="360">
        <v>-0.36</v>
      </c>
      <c r="F20" s="360">
        <v>-0.36</v>
      </c>
      <c r="G20" s="360">
        <v>-0.36</v>
      </c>
      <c r="H20" s="360">
        <v>-0.36</v>
      </c>
      <c r="I20" s="360">
        <v>-0.36</v>
      </c>
      <c r="J20" s="360">
        <v>-0.36</v>
      </c>
      <c r="K20" s="188"/>
      <c r="L20" s="188"/>
      <c r="M20" s="188"/>
      <c r="N20" s="188"/>
      <c r="O20" s="188"/>
      <c r="P20" s="188"/>
      <c r="Q20" s="188"/>
      <c r="R20" s="188"/>
      <c r="S20" s="188"/>
      <c r="T20" s="293"/>
      <c r="U20" s="72"/>
      <c r="V20" s="72"/>
      <c r="W20" s="68"/>
      <c r="X20" s="72"/>
      <c r="Y20" s="68"/>
      <c r="Z20" s="72"/>
      <c r="AA20" s="68"/>
      <c r="AB20" s="72"/>
      <c r="AC20" s="68"/>
      <c r="AD20" s="65"/>
      <c r="AE20" s="65"/>
      <c r="AF20" s="65"/>
      <c r="AG20" s="65"/>
      <c r="AH20" s="65"/>
      <c r="AI20" s="65"/>
      <c r="AJ20" s="65"/>
      <c r="AK20" s="65"/>
      <c r="AL20" s="65"/>
      <c r="AM20" s="72"/>
      <c r="AN20" s="65"/>
      <c r="AO20" s="72"/>
      <c r="AP20" s="72"/>
      <c r="AR20" s="65"/>
      <c r="AS20" s="65"/>
      <c r="AT20" s="65"/>
      <c r="AU20" s="72"/>
      <c r="AV20" s="65"/>
      <c r="AW20" s="72"/>
      <c r="AX20" s="72"/>
      <c r="AZ20" s="65"/>
      <c r="BA20" s="65"/>
      <c r="BB20" s="65"/>
      <c r="BC20" s="72"/>
      <c r="BD20" s="65"/>
      <c r="BE20" s="72"/>
      <c r="BF20" s="72"/>
      <c r="BH20" s="65"/>
      <c r="BI20" s="65"/>
      <c r="BJ20" s="65"/>
      <c r="BK20" s="72"/>
      <c r="BL20" s="65"/>
      <c r="BM20" s="72"/>
      <c r="BN20" s="72"/>
    </row>
    <row r="21" spans="1:67" ht="15" hidden="1" customHeight="1">
      <c r="A21" s="400"/>
      <c r="B21" s="250" t="s">
        <v>21</v>
      </c>
      <c r="C21" s="251"/>
      <c r="D21" s="366">
        <v>4</v>
      </c>
      <c r="E21" s="366">
        <v>4</v>
      </c>
      <c r="F21" s="366">
        <v>4</v>
      </c>
      <c r="G21" s="366">
        <v>4</v>
      </c>
      <c r="H21" s="366">
        <v>4</v>
      </c>
      <c r="I21" s="366">
        <v>4</v>
      </c>
      <c r="J21" s="366">
        <v>4</v>
      </c>
      <c r="K21" s="299"/>
      <c r="L21" s="299"/>
      <c r="M21" s="299"/>
      <c r="N21" s="299"/>
      <c r="O21" s="299"/>
      <c r="P21" s="299"/>
      <c r="Q21" s="299"/>
      <c r="R21" s="299"/>
      <c r="S21" s="299"/>
      <c r="T21" s="293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R21" s="70"/>
      <c r="AS21" s="70"/>
      <c r="AT21" s="70"/>
      <c r="AU21" s="70"/>
      <c r="AV21" s="70"/>
      <c r="AW21" s="70"/>
      <c r="AX21" s="70"/>
      <c r="AZ21" s="70"/>
      <c r="BA21" s="70"/>
      <c r="BB21" s="70"/>
      <c r="BC21" s="70"/>
      <c r="BD21" s="70"/>
      <c r="BE21" s="70"/>
      <c r="BF21" s="70"/>
      <c r="BH21" s="70"/>
      <c r="BI21" s="70"/>
      <c r="BJ21" s="70"/>
      <c r="BK21" s="70"/>
      <c r="BL21" s="70"/>
      <c r="BM21" s="70"/>
      <c r="BN21" s="70"/>
    </row>
    <row r="22" spans="1:67" ht="15" hidden="1" customHeight="1">
      <c r="A22" s="401" t="b">
        <v>1</v>
      </c>
      <c r="B22" s="250" t="s">
        <v>22</v>
      </c>
      <c r="C22" s="251"/>
      <c r="D22" s="366">
        <v>9</v>
      </c>
      <c r="E22" s="366">
        <v>9</v>
      </c>
      <c r="F22" s="366">
        <v>9</v>
      </c>
      <c r="G22" s="366">
        <v>9</v>
      </c>
      <c r="H22" s="366">
        <v>9</v>
      </c>
      <c r="I22" s="366">
        <v>9</v>
      </c>
      <c r="J22" s="366">
        <v>9</v>
      </c>
      <c r="K22" s="299"/>
      <c r="L22" s="299"/>
      <c r="M22" s="299"/>
      <c r="N22" s="299"/>
      <c r="O22" s="299"/>
      <c r="P22" s="299"/>
      <c r="Q22" s="299"/>
      <c r="R22" s="299"/>
      <c r="S22" s="299"/>
      <c r="T22" s="293"/>
      <c r="U22" s="79"/>
      <c r="V22" s="79"/>
      <c r="W22" s="79"/>
      <c r="X22" s="79"/>
      <c r="Y22" s="79"/>
      <c r="Z22" s="79"/>
      <c r="AA22" s="79"/>
      <c r="AB22" s="79"/>
      <c r="AC22" s="79"/>
      <c r="AD22" s="71"/>
      <c r="AE22" s="70"/>
      <c r="AF22" s="70"/>
      <c r="AG22" s="70"/>
      <c r="AH22" s="70"/>
      <c r="AI22" s="70"/>
      <c r="AJ22" s="70"/>
      <c r="AK22" s="70"/>
      <c r="AL22" s="70"/>
      <c r="AM22" s="79"/>
      <c r="AN22" s="70"/>
      <c r="AO22" s="79"/>
      <c r="AP22" s="79"/>
      <c r="AR22" s="70"/>
      <c r="AS22" s="70"/>
      <c r="AT22" s="70"/>
      <c r="AU22" s="79"/>
      <c r="AV22" s="70"/>
      <c r="AW22" s="79"/>
      <c r="AX22" s="79"/>
      <c r="AZ22" s="70"/>
      <c r="BA22" s="70"/>
      <c r="BB22" s="70"/>
      <c r="BC22" s="79"/>
      <c r="BD22" s="70"/>
      <c r="BE22" s="79"/>
      <c r="BF22" s="79"/>
      <c r="BH22" s="70"/>
      <c r="BI22" s="70"/>
      <c r="BJ22" s="70"/>
      <c r="BK22" s="79"/>
      <c r="BL22" s="70"/>
      <c r="BM22" s="79"/>
      <c r="BN22" s="79"/>
    </row>
    <row r="23" spans="1:67" ht="15" customHeight="1">
      <c r="A23" s="399" t="s">
        <v>28</v>
      </c>
      <c r="B23" s="250" t="s">
        <v>15</v>
      </c>
      <c r="C23" s="251"/>
      <c r="D23" s="361" t="s">
        <v>33</v>
      </c>
      <c r="E23" s="361" t="s">
        <v>33</v>
      </c>
      <c r="F23" s="361" t="s">
        <v>33</v>
      </c>
      <c r="G23" s="361" t="s">
        <v>33</v>
      </c>
      <c r="H23" s="361" t="s">
        <v>33</v>
      </c>
      <c r="I23" s="361" t="s">
        <v>33</v>
      </c>
      <c r="J23" s="361" t="s">
        <v>33</v>
      </c>
      <c r="K23" s="214"/>
      <c r="L23" s="214"/>
      <c r="M23" s="214"/>
      <c r="N23" s="214"/>
      <c r="O23" s="214"/>
      <c r="P23" s="214"/>
      <c r="Q23" s="214"/>
      <c r="R23" s="214"/>
      <c r="S23" s="214"/>
      <c r="T23" s="293"/>
      <c r="U23" s="70"/>
      <c r="V23" s="62"/>
      <c r="W23" s="62"/>
      <c r="X23" s="62"/>
      <c r="Y23" s="62"/>
      <c r="Z23" s="62"/>
      <c r="AA23" s="70"/>
      <c r="AB23" s="70"/>
      <c r="AC23" s="70"/>
      <c r="AD23" s="59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P23" s="70"/>
      <c r="AQ23" s="70"/>
      <c r="AR23" s="70"/>
      <c r="AS23" s="70"/>
      <c r="AT23" s="70"/>
      <c r="AU23" s="70"/>
      <c r="AV23" s="70"/>
      <c r="AX23" s="70"/>
      <c r="AY23" s="70"/>
      <c r="AZ23" s="70"/>
      <c r="BA23" s="70"/>
      <c r="BB23" s="70"/>
      <c r="BC23" s="70"/>
      <c r="BD23" s="70"/>
      <c r="BE23" s="58"/>
      <c r="BF23" s="70"/>
      <c r="BG23" s="70"/>
      <c r="BH23" s="70"/>
      <c r="BI23" s="70"/>
      <c r="BJ23" s="70"/>
      <c r="BK23" s="70"/>
      <c r="BL23" s="70"/>
      <c r="BN23" s="70"/>
      <c r="BO23" s="70"/>
    </row>
    <row r="24" spans="1:67" ht="15" customHeight="1">
      <c r="A24" s="397" t="s">
        <v>32</v>
      </c>
      <c r="B24" s="274" t="s">
        <v>17</v>
      </c>
      <c r="C24" s="275" t="s">
        <v>18</v>
      </c>
      <c r="D24" s="367">
        <v>2.8</v>
      </c>
      <c r="E24" s="367">
        <v>2.8</v>
      </c>
      <c r="F24" s="367">
        <v>2.8</v>
      </c>
      <c r="G24" s="367">
        <v>2.8</v>
      </c>
      <c r="H24" s="367">
        <v>2.8</v>
      </c>
      <c r="I24" s="367">
        <v>2.8</v>
      </c>
      <c r="J24" s="367">
        <v>2.8</v>
      </c>
      <c r="K24" s="189"/>
      <c r="L24" s="189"/>
      <c r="M24" s="189"/>
      <c r="N24" s="189"/>
      <c r="O24" s="189"/>
      <c r="P24" s="189"/>
      <c r="Q24" s="189"/>
      <c r="R24" s="189"/>
      <c r="S24" s="189"/>
      <c r="T24" s="293"/>
      <c r="U24" s="70"/>
      <c r="V24" s="62"/>
      <c r="W24" s="62"/>
      <c r="X24" s="62"/>
      <c r="Y24" s="62"/>
      <c r="Z24" s="62"/>
      <c r="AA24" s="70"/>
      <c r="AB24" s="70"/>
      <c r="AC24" s="70"/>
      <c r="AD24" s="59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P24" s="70"/>
      <c r="AQ24" s="70"/>
      <c r="AR24" s="70"/>
      <c r="AS24" s="70"/>
      <c r="AT24" s="70"/>
      <c r="AU24" s="70"/>
      <c r="AV24" s="70"/>
      <c r="AX24" s="70"/>
      <c r="AY24" s="70"/>
      <c r="AZ24" s="70"/>
      <c r="BA24" s="70"/>
      <c r="BB24" s="70"/>
      <c r="BC24" s="70"/>
      <c r="BD24" s="70"/>
      <c r="BE24" s="58"/>
      <c r="BF24" s="70"/>
      <c r="BG24" s="70"/>
      <c r="BH24" s="70"/>
      <c r="BI24" s="70"/>
      <c r="BJ24" s="70"/>
      <c r="BK24" s="70"/>
      <c r="BL24" s="70"/>
      <c r="BN24" s="70"/>
      <c r="BO24" s="70"/>
    </row>
    <row r="25" spans="1:67" ht="15" hidden="1" customHeight="1">
      <c r="A25" s="400"/>
      <c r="B25" s="274" t="s">
        <v>19</v>
      </c>
      <c r="C25" s="275" t="s">
        <v>20</v>
      </c>
      <c r="D25" s="360">
        <v>-0.375</v>
      </c>
      <c r="E25" s="360">
        <v>-0.375</v>
      </c>
      <c r="F25" s="360">
        <v>-0.375</v>
      </c>
      <c r="G25" s="360">
        <v>-0.375</v>
      </c>
      <c r="H25" s="360">
        <v>-0.375</v>
      </c>
      <c r="I25" s="360">
        <v>-0.375</v>
      </c>
      <c r="J25" s="360">
        <v>-0.375</v>
      </c>
      <c r="K25" s="188"/>
      <c r="L25" s="188"/>
      <c r="M25" s="188"/>
      <c r="N25" s="188"/>
      <c r="O25" s="188"/>
      <c r="P25" s="188"/>
      <c r="Q25" s="188"/>
      <c r="R25" s="188"/>
      <c r="S25" s="188"/>
      <c r="T25" s="293"/>
      <c r="U25" s="65"/>
      <c r="V25" s="62"/>
      <c r="W25" s="62"/>
      <c r="X25" s="62"/>
      <c r="Y25" s="62"/>
      <c r="Z25" s="62"/>
      <c r="AA25" s="65"/>
      <c r="AB25" s="65"/>
      <c r="AC25" s="65"/>
      <c r="AD25" s="80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</row>
    <row r="26" spans="1:67" ht="15" hidden="1" customHeight="1">
      <c r="A26" s="400"/>
      <c r="B26" s="250" t="s">
        <v>21</v>
      </c>
      <c r="C26" s="251"/>
      <c r="D26" s="366">
        <v>13</v>
      </c>
      <c r="E26" s="366">
        <v>13</v>
      </c>
      <c r="F26" s="366">
        <v>13</v>
      </c>
      <c r="G26" s="366">
        <v>13</v>
      </c>
      <c r="H26" s="366">
        <v>13</v>
      </c>
      <c r="I26" s="366">
        <v>13</v>
      </c>
      <c r="J26" s="366">
        <v>13</v>
      </c>
      <c r="K26" s="299"/>
      <c r="L26" s="299"/>
      <c r="M26" s="299"/>
      <c r="N26" s="299"/>
      <c r="O26" s="299"/>
      <c r="P26" s="299"/>
      <c r="Q26" s="299"/>
      <c r="R26" s="299"/>
      <c r="S26" s="299"/>
      <c r="T26" s="293"/>
      <c r="U26" s="70"/>
      <c r="V26" s="62"/>
      <c r="W26" s="62"/>
      <c r="X26" s="62"/>
      <c r="Y26" s="62"/>
      <c r="Z26" s="62"/>
      <c r="AA26" s="70"/>
      <c r="AB26" s="70"/>
      <c r="AC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</row>
    <row r="27" spans="1:67" ht="15" hidden="1" customHeight="1">
      <c r="A27" s="401" t="b">
        <v>1</v>
      </c>
      <c r="B27" s="250" t="s">
        <v>22</v>
      </c>
      <c r="C27" s="251"/>
      <c r="D27" s="366">
        <v>27</v>
      </c>
      <c r="E27" s="366">
        <v>27</v>
      </c>
      <c r="F27" s="366">
        <v>27</v>
      </c>
      <c r="G27" s="366">
        <v>27</v>
      </c>
      <c r="H27" s="366">
        <v>27</v>
      </c>
      <c r="I27" s="366">
        <v>27</v>
      </c>
      <c r="J27" s="366">
        <v>27</v>
      </c>
      <c r="K27" s="299"/>
      <c r="L27" s="299"/>
      <c r="M27" s="299"/>
      <c r="N27" s="299"/>
      <c r="O27" s="299"/>
      <c r="P27" s="299"/>
      <c r="Q27" s="299"/>
      <c r="R27" s="299"/>
      <c r="S27" s="299"/>
      <c r="T27" s="293"/>
      <c r="U27" s="71"/>
      <c r="V27" s="62"/>
      <c r="W27" s="62"/>
      <c r="X27" s="62"/>
      <c r="Y27" s="62"/>
      <c r="Z27" s="62"/>
      <c r="AA27" s="71"/>
      <c r="AB27" s="71"/>
      <c r="AC27" s="71"/>
      <c r="AE27" s="70"/>
      <c r="AF27" s="70"/>
      <c r="AG27" s="70"/>
      <c r="AH27" s="70"/>
      <c r="AI27" s="70"/>
      <c r="AJ27" s="70"/>
      <c r="AK27" s="70"/>
      <c r="AL27" s="70"/>
      <c r="AM27" s="71"/>
      <c r="AN27" s="70"/>
      <c r="AO27" s="71"/>
      <c r="AP27" s="71"/>
      <c r="AQ27" s="71"/>
      <c r="AR27" s="70"/>
      <c r="AS27" s="70"/>
      <c r="AT27" s="70"/>
      <c r="AU27" s="71"/>
      <c r="AV27" s="70"/>
      <c r="AW27" s="71"/>
      <c r="AX27" s="71"/>
      <c r="AY27" s="71"/>
      <c r="AZ27" s="70"/>
      <c r="BA27" s="70"/>
      <c r="BB27" s="70"/>
      <c r="BC27" s="71"/>
      <c r="BD27" s="70"/>
      <c r="BE27" s="71"/>
      <c r="BF27" s="71"/>
      <c r="BG27" s="71"/>
      <c r="BH27" s="70"/>
      <c r="BI27" s="70"/>
      <c r="BJ27" s="70"/>
      <c r="BK27" s="71"/>
      <c r="BL27" s="70"/>
      <c r="BM27" s="71"/>
      <c r="BN27" s="71"/>
      <c r="BO27" s="71"/>
    </row>
    <row r="28" spans="1:67" ht="15" customHeight="1">
      <c r="A28" s="399" t="s">
        <v>28</v>
      </c>
      <c r="B28" s="250" t="s">
        <v>15</v>
      </c>
      <c r="C28" s="251"/>
      <c r="D28" s="361" t="s">
        <v>122</v>
      </c>
      <c r="E28" s="361" t="s">
        <v>122</v>
      </c>
      <c r="F28" s="361" t="s">
        <v>122</v>
      </c>
      <c r="G28" s="361" t="s">
        <v>122</v>
      </c>
      <c r="H28" s="361" t="s">
        <v>122</v>
      </c>
      <c r="I28" s="361" t="s">
        <v>122</v>
      </c>
      <c r="J28" s="361" t="s">
        <v>122</v>
      </c>
      <c r="K28" s="214"/>
      <c r="L28" s="214"/>
      <c r="M28" s="214"/>
      <c r="N28" s="214"/>
      <c r="O28" s="214"/>
      <c r="P28" s="214"/>
      <c r="Q28" s="214"/>
      <c r="R28" s="214"/>
      <c r="S28" s="214"/>
      <c r="T28" s="293"/>
      <c r="U28" s="71"/>
      <c r="V28" s="62"/>
      <c r="W28" s="62"/>
      <c r="X28" s="62"/>
      <c r="Y28" s="62"/>
      <c r="Z28" s="62"/>
      <c r="AA28" s="71"/>
      <c r="AB28" s="71"/>
      <c r="AC28" s="71"/>
      <c r="AE28" s="70"/>
      <c r="AF28" s="70"/>
      <c r="AG28" s="70"/>
      <c r="AH28" s="70"/>
      <c r="AI28" s="70"/>
      <c r="AJ28" s="70"/>
      <c r="AK28" s="70"/>
      <c r="AL28" s="70"/>
      <c r="AM28" s="71"/>
      <c r="AN28" s="70"/>
      <c r="AO28" s="71"/>
      <c r="AP28" s="71"/>
      <c r="AQ28" s="71"/>
      <c r="AR28" s="70"/>
      <c r="AS28" s="70"/>
      <c r="AT28" s="70"/>
      <c r="AU28" s="71"/>
      <c r="AV28" s="70"/>
      <c r="AW28" s="71"/>
      <c r="AX28" s="71"/>
      <c r="AY28" s="71"/>
      <c r="AZ28" s="70"/>
      <c r="BA28" s="70"/>
      <c r="BB28" s="70"/>
      <c r="BC28" s="71"/>
      <c r="BD28" s="70"/>
      <c r="BE28" s="71"/>
      <c r="BF28" s="71"/>
      <c r="BG28" s="71"/>
      <c r="BH28" s="70"/>
      <c r="BI28" s="70"/>
      <c r="BJ28" s="70"/>
      <c r="BK28" s="71"/>
      <c r="BL28" s="70"/>
      <c r="BM28" s="71"/>
      <c r="BN28" s="71"/>
      <c r="BO28" s="71"/>
    </row>
    <row r="29" spans="1:67" ht="15" customHeight="1">
      <c r="A29" s="397" t="s">
        <v>34</v>
      </c>
      <c r="B29" s="274" t="s">
        <v>17</v>
      </c>
      <c r="C29" s="275" t="s">
        <v>18</v>
      </c>
      <c r="D29" s="367">
        <v>26</v>
      </c>
      <c r="E29" s="367">
        <v>26</v>
      </c>
      <c r="F29" s="367">
        <v>26</v>
      </c>
      <c r="G29" s="367">
        <v>97.8</v>
      </c>
      <c r="H29" s="367">
        <v>26</v>
      </c>
      <c r="I29" s="367">
        <v>26</v>
      </c>
      <c r="J29" s="367">
        <v>26</v>
      </c>
      <c r="K29" s="189"/>
      <c r="L29" s="189"/>
      <c r="M29" s="189"/>
      <c r="N29" s="189"/>
      <c r="O29" s="189"/>
      <c r="P29" s="189"/>
      <c r="Q29" s="189"/>
      <c r="R29" s="189"/>
      <c r="S29" s="189"/>
      <c r="T29" s="293"/>
      <c r="U29" s="71"/>
      <c r="V29" s="62"/>
      <c r="W29" s="62"/>
      <c r="X29" s="62"/>
      <c r="Y29" s="62"/>
      <c r="Z29" s="62"/>
      <c r="AA29" s="71"/>
      <c r="AB29" s="71"/>
      <c r="AC29" s="71"/>
      <c r="AE29" s="70"/>
      <c r="AF29" s="70"/>
      <c r="AG29" s="70"/>
      <c r="AH29" s="70"/>
      <c r="AI29" s="70"/>
      <c r="AJ29" s="70"/>
      <c r="AK29" s="70"/>
      <c r="AL29" s="70"/>
      <c r="AM29" s="71"/>
      <c r="AN29" s="70"/>
      <c r="AO29" s="71"/>
      <c r="AP29" s="71"/>
      <c r="AQ29" s="71"/>
      <c r="AR29" s="70"/>
      <c r="AS29" s="70"/>
      <c r="AT29" s="70"/>
      <c r="AU29" s="71"/>
      <c r="AV29" s="70"/>
      <c r="AW29" s="71"/>
      <c r="AX29" s="71"/>
      <c r="AY29" s="71"/>
      <c r="AZ29" s="70"/>
      <c r="BA29" s="70"/>
      <c r="BB29" s="70"/>
      <c r="BC29" s="71"/>
      <c r="BD29" s="70"/>
      <c r="BE29" s="71"/>
      <c r="BF29" s="71"/>
      <c r="BG29" s="71"/>
      <c r="BH29" s="70"/>
      <c r="BI29" s="70"/>
      <c r="BJ29" s="70"/>
      <c r="BK29" s="71"/>
      <c r="BL29" s="70"/>
      <c r="BM29" s="71"/>
      <c r="BN29" s="71"/>
      <c r="BO29" s="71"/>
    </row>
    <row r="30" spans="1:67" ht="15" hidden="1" customHeight="1">
      <c r="A30" s="400"/>
      <c r="B30" s="274" t="s">
        <v>19</v>
      </c>
      <c r="C30" s="275" t="s">
        <v>20</v>
      </c>
      <c r="D30" s="360">
        <v>0</v>
      </c>
      <c r="E30" s="360">
        <v>0</v>
      </c>
      <c r="F30" s="360">
        <v>0</v>
      </c>
      <c r="G30" s="360">
        <v>0</v>
      </c>
      <c r="H30" s="360">
        <v>0</v>
      </c>
      <c r="I30" s="360">
        <v>0</v>
      </c>
      <c r="J30" s="360">
        <v>0</v>
      </c>
      <c r="K30" s="188"/>
      <c r="L30" s="188"/>
      <c r="M30" s="188"/>
      <c r="N30" s="188"/>
      <c r="O30" s="188"/>
      <c r="P30" s="188"/>
      <c r="Q30" s="188"/>
      <c r="R30" s="188"/>
      <c r="S30" s="188"/>
      <c r="T30" s="293"/>
      <c r="U30" s="71"/>
      <c r="V30" s="62"/>
      <c r="W30" s="62"/>
      <c r="X30" s="62"/>
      <c r="Y30" s="62"/>
      <c r="Z30" s="62"/>
      <c r="AA30" s="71"/>
      <c r="AB30" s="71"/>
      <c r="AC30" s="71"/>
      <c r="AE30" s="70"/>
      <c r="AF30" s="70"/>
      <c r="AG30" s="70"/>
      <c r="AH30" s="70"/>
      <c r="AI30" s="70"/>
      <c r="AJ30" s="70"/>
      <c r="AK30" s="70"/>
      <c r="AL30" s="70"/>
      <c r="AM30" s="71"/>
      <c r="AN30" s="70"/>
      <c r="AO30" s="71"/>
      <c r="AP30" s="71"/>
      <c r="AQ30" s="71"/>
      <c r="AR30" s="70"/>
      <c r="AS30" s="70"/>
      <c r="AT30" s="70"/>
      <c r="AU30" s="71"/>
      <c r="AV30" s="70"/>
      <c r="AW30" s="71"/>
      <c r="AX30" s="71"/>
      <c r="AY30" s="71"/>
      <c r="AZ30" s="70"/>
      <c r="BA30" s="70"/>
      <c r="BB30" s="70"/>
      <c r="BC30" s="71"/>
      <c r="BD30" s="70"/>
      <c r="BE30" s="71"/>
      <c r="BF30" s="71"/>
      <c r="BG30" s="71"/>
      <c r="BH30" s="70"/>
      <c r="BI30" s="70"/>
      <c r="BJ30" s="70"/>
      <c r="BK30" s="71"/>
      <c r="BL30" s="70"/>
      <c r="BM30" s="71"/>
      <c r="BN30" s="71"/>
      <c r="BO30" s="71"/>
    </row>
    <row r="31" spans="1:67" ht="15" hidden="1" customHeight="1">
      <c r="A31" s="400"/>
      <c r="B31" s="250" t="s">
        <v>21</v>
      </c>
      <c r="C31" s="251"/>
      <c r="D31" s="366">
        <v>7</v>
      </c>
      <c r="E31" s="366">
        <v>7</v>
      </c>
      <c r="F31" s="366">
        <v>7</v>
      </c>
      <c r="G31" s="366">
        <v>7</v>
      </c>
      <c r="H31" s="366">
        <v>7</v>
      </c>
      <c r="I31" s="366">
        <v>7</v>
      </c>
      <c r="J31" s="366">
        <v>7</v>
      </c>
      <c r="K31" s="299"/>
      <c r="L31" s="299"/>
      <c r="M31" s="299"/>
      <c r="N31" s="299"/>
      <c r="O31" s="299"/>
      <c r="P31" s="299"/>
      <c r="Q31" s="299"/>
      <c r="R31" s="299"/>
      <c r="S31" s="299"/>
      <c r="T31" s="293"/>
      <c r="U31" s="71"/>
      <c r="V31" s="62"/>
      <c r="W31" s="62"/>
      <c r="X31" s="62"/>
      <c r="Y31" s="62"/>
      <c r="Z31" s="62"/>
      <c r="AA31" s="71"/>
      <c r="AB31" s="71"/>
      <c r="AC31" s="71"/>
      <c r="AE31" s="70"/>
      <c r="AF31" s="70"/>
      <c r="AG31" s="70"/>
      <c r="AH31" s="70"/>
      <c r="AI31" s="70"/>
      <c r="AJ31" s="70"/>
      <c r="AK31" s="70"/>
      <c r="AL31" s="70"/>
      <c r="AM31" s="71"/>
      <c r="AN31" s="70"/>
      <c r="AO31" s="71"/>
      <c r="AP31" s="71"/>
      <c r="AQ31" s="71"/>
      <c r="AR31" s="70"/>
      <c r="AS31" s="70"/>
      <c r="AT31" s="70"/>
      <c r="AU31" s="71"/>
      <c r="AV31" s="70"/>
      <c r="AW31" s="71"/>
      <c r="AX31" s="71"/>
      <c r="AY31" s="71"/>
      <c r="AZ31" s="70"/>
      <c r="BA31" s="70"/>
      <c r="BB31" s="70"/>
      <c r="BC31" s="71"/>
      <c r="BD31" s="70"/>
      <c r="BE31" s="71"/>
      <c r="BF31" s="71"/>
      <c r="BG31" s="71"/>
      <c r="BH31" s="70"/>
      <c r="BI31" s="70"/>
      <c r="BJ31" s="70"/>
      <c r="BK31" s="71"/>
      <c r="BL31" s="70"/>
      <c r="BM31" s="71"/>
      <c r="BN31" s="71"/>
      <c r="BO31" s="71"/>
    </row>
    <row r="32" spans="1:67" ht="15" hidden="1" customHeight="1">
      <c r="A32" s="401" t="b">
        <v>1</v>
      </c>
      <c r="B32" s="250" t="s">
        <v>22</v>
      </c>
      <c r="C32" s="251"/>
      <c r="D32" s="366">
        <v>14</v>
      </c>
      <c r="E32" s="366">
        <v>14</v>
      </c>
      <c r="F32" s="366">
        <v>14</v>
      </c>
      <c r="G32" s="366">
        <v>14</v>
      </c>
      <c r="H32" s="366">
        <v>14</v>
      </c>
      <c r="I32" s="366">
        <v>14</v>
      </c>
      <c r="J32" s="366">
        <v>14</v>
      </c>
      <c r="K32" s="299"/>
      <c r="L32" s="299"/>
      <c r="M32" s="299"/>
      <c r="N32" s="299"/>
      <c r="O32" s="299"/>
      <c r="P32" s="299"/>
      <c r="Q32" s="299"/>
      <c r="R32" s="299"/>
      <c r="S32" s="299"/>
      <c r="T32" s="293"/>
      <c r="U32" s="71"/>
      <c r="V32" s="62"/>
      <c r="W32" s="62"/>
      <c r="X32" s="62"/>
      <c r="Y32" s="62"/>
      <c r="Z32" s="62"/>
      <c r="AA32" s="71"/>
      <c r="AB32" s="71"/>
      <c r="AC32" s="71"/>
      <c r="AE32" s="70"/>
      <c r="AF32" s="70"/>
      <c r="AG32" s="70"/>
      <c r="AH32" s="70"/>
      <c r="AI32" s="70"/>
      <c r="AJ32" s="70"/>
      <c r="AK32" s="70"/>
      <c r="AL32" s="70"/>
      <c r="AM32" s="71"/>
      <c r="AN32" s="70"/>
      <c r="AO32" s="71"/>
      <c r="AP32" s="71"/>
      <c r="AQ32" s="71"/>
      <c r="AR32" s="70"/>
      <c r="AS32" s="70"/>
      <c r="AT32" s="70"/>
      <c r="AU32" s="71"/>
      <c r="AV32" s="70"/>
      <c r="AW32" s="71"/>
      <c r="AX32" s="71"/>
      <c r="AY32" s="71"/>
      <c r="AZ32" s="70"/>
      <c r="BA32" s="70"/>
      <c r="BB32" s="70"/>
      <c r="BC32" s="71"/>
      <c r="BD32" s="70"/>
      <c r="BE32" s="71"/>
      <c r="BF32" s="71"/>
      <c r="BG32" s="71"/>
      <c r="BH32" s="70"/>
      <c r="BI32" s="70"/>
      <c r="BJ32" s="70"/>
      <c r="BK32" s="71"/>
      <c r="BL32" s="70"/>
      <c r="BM32" s="71"/>
      <c r="BN32" s="71"/>
      <c r="BO32" s="71"/>
    </row>
    <row r="33" spans="1:67" ht="15" hidden="1" customHeight="1">
      <c r="A33" s="399" t="s">
        <v>28</v>
      </c>
      <c r="B33" s="250" t="s">
        <v>15</v>
      </c>
      <c r="C33" s="251"/>
      <c r="D33" s="361" t="s">
        <v>122</v>
      </c>
      <c r="E33" s="361" t="s">
        <v>122</v>
      </c>
      <c r="F33" s="361" t="s">
        <v>122</v>
      </c>
      <c r="G33" s="361" t="s">
        <v>122</v>
      </c>
      <c r="H33" s="361" t="s">
        <v>122</v>
      </c>
      <c r="I33" s="361" t="s">
        <v>122</v>
      </c>
      <c r="J33" s="361" t="s">
        <v>122</v>
      </c>
      <c r="K33" s="214"/>
      <c r="L33" s="214"/>
      <c r="M33" s="214"/>
      <c r="N33" s="214"/>
      <c r="O33" s="214"/>
      <c r="P33" s="214"/>
      <c r="Q33" s="214"/>
      <c r="R33" s="214"/>
      <c r="S33" s="214"/>
      <c r="T33" s="293"/>
      <c r="U33" s="71"/>
      <c r="V33" s="62"/>
      <c r="W33" s="62"/>
      <c r="X33" s="62"/>
      <c r="Y33" s="62"/>
      <c r="Z33" s="62"/>
      <c r="AA33" s="71"/>
      <c r="AB33" s="71"/>
      <c r="AC33" s="71"/>
      <c r="AE33" s="70"/>
      <c r="AF33" s="70"/>
      <c r="AG33" s="70"/>
      <c r="AH33" s="70"/>
      <c r="AI33" s="70"/>
      <c r="AJ33" s="70"/>
      <c r="AK33" s="70"/>
      <c r="AL33" s="70"/>
      <c r="AM33" s="71"/>
      <c r="AN33" s="70"/>
      <c r="AO33" s="71"/>
      <c r="AP33" s="71"/>
      <c r="AQ33" s="71"/>
      <c r="AR33" s="70"/>
      <c r="AS33" s="70"/>
      <c r="AT33" s="70"/>
      <c r="AU33" s="71"/>
      <c r="AV33" s="70"/>
      <c r="AW33" s="71"/>
      <c r="AX33" s="71"/>
      <c r="AY33" s="71"/>
      <c r="AZ33" s="70"/>
      <c r="BA33" s="70"/>
      <c r="BB33" s="70"/>
      <c r="BC33" s="71"/>
      <c r="BD33" s="70"/>
      <c r="BE33" s="71"/>
      <c r="BF33" s="71"/>
      <c r="BG33" s="71"/>
      <c r="BH33" s="70"/>
      <c r="BI33" s="70"/>
      <c r="BJ33" s="70"/>
      <c r="BK33" s="71"/>
      <c r="BL33" s="70"/>
      <c r="BM33" s="71"/>
      <c r="BN33" s="71"/>
      <c r="BO33" s="71"/>
    </row>
    <row r="34" spans="1:67" ht="15" hidden="1" customHeight="1" thickBot="1">
      <c r="A34" s="397" t="s">
        <v>36</v>
      </c>
      <c r="B34" s="274" t="s">
        <v>17</v>
      </c>
      <c r="C34" s="275" t="s">
        <v>18</v>
      </c>
      <c r="D34" s="367">
        <v>26</v>
      </c>
      <c r="E34" s="367">
        <v>26</v>
      </c>
      <c r="F34" s="367">
        <v>26</v>
      </c>
      <c r="G34" s="367">
        <v>97.8</v>
      </c>
      <c r="H34" s="367">
        <v>26</v>
      </c>
      <c r="I34" s="367">
        <v>26</v>
      </c>
      <c r="J34" s="367">
        <v>26</v>
      </c>
      <c r="K34" s="189"/>
      <c r="L34" s="189"/>
      <c r="M34" s="189"/>
      <c r="N34" s="189"/>
      <c r="O34" s="189"/>
      <c r="P34" s="189"/>
      <c r="Q34" s="189"/>
      <c r="R34" s="189"/>
      <c r="S34" s="189"/>
      <c r="T34" s="293"/>
      <c r="U34" s="71"/>
      <c r="V34" s="62"/>
      <c r="W34" s="62"/>
      <c r="X34" s="62"/>
      <c r="Y34" s="62"/>
      <c r="Z34" s="62"/>
      <c r="AA34" s="71"/>
      <c r="AB34" s="71"/>
      <c r="AC34" s="71"/>
      <c r="AE34" s="70"/>
      <c r="AF34" s="70"/>
      <c r="AG34" s="70"/>
      <c r="AH34" s="70"/>
      <c r="AI34" s="70"/>
      <c r="AJ34" s="70"/>
      <c r="AK34" s="70"/>
      <c r="AL34" s="70"/>
      <c r="AM34" s="71"/>
      <c r="AN34" s="70"/>
      <c r="AO34" s="71"/>
      <c r="AP34" s="71"/>
      <c r="AQ34" s="71"/>
      <c r="AR34" s="70"/>
      <c r="AS34" s="70"/>
      <c r="AT34" s="70"/>
      <c r="AU34" s="71"/>
      <c r="AV34" s="70"/>
      <c r="AW34" s="71"/>
      <c r="AX34" s="71"/>
      <c r="AY34" s="71"/>
      <c r="AZ34" s="70"/>
      <c r="BA34" s="70"/>
      <c r="BB34" s="70"/>
      <c r="BC34" s="71"/>
      <c r="BD34" s="70"/>
      <c r="BE34" s="71"/>
      <c r="BF34" s="71"/>
      <c r="BG34" s="71"/>
      <c r="BH34" s="70"/>
      <c r="BI34" s="70"/>
      <c r="BJ34" s="70"/>
      <c r="BK34" s="71"/>
      <c r="BL34" s="70"/>
      <c r="BM34" s="71"/>
      <c r="BN34" s="71"/>
      <c r="BO34" s="71"/>
    </row>
    <row r="35" spans="1:67" ht="15" hidden="1" customHeight="1">
      <c r="A35" s="400"/>
      <c r="B35" s="274" t="s">
        <v>19</v>
      </c>
      <c r="C35" s="275" t="s">
        <v>20</v>
      </c>
      <c r="D35" s="360">
        <v>0</v>
      </c>
      <c r="E35" s="360">
        <v>0</v>
      </c>
      <c r="F35" s="360">
        <v>0</v>
      </c>
      <c r="G35" s="360">
        <v>0</v>
      </c>
      <c r="H35" s="360">
        <v>0</v>
      </c>
      <c r="I35" s="360">
        <v>0</v>
      </c>
      <c r="J35" s="360">
        <v>0</v>
      </c>
      <c r="K35" s="188"/>
      <c r="L35" s="188"/>
      <c r="M35" s="188"/>
      <c r="N35" s="188"/>
      <c r="O35" s="188"/>
      <c r="P35" s="188"/>
      <c r="Q35" s="188"/>
      <c r="R35" s="188"/>
      <c r="S35" s="188"/>
      <c r="T35" s="293"/>
      <c r="U35" s="71"/>
      <c r="V35" s="62"/>
      <c r="W35" s="62"/>
      <c r="X35" s="62"/>
      <c r="Y35" s="62"/>
      <c r="Z35" s="62"/>
      <c r="AA35" s="71"/>
      <c r="AB35" s="71"/>
      <c r="AC35" s="71"/>
      <c r="AE35" s="70"/>
      <c r="AF35" s="70"/>
      <c r="AG35" s="70"/>
      <c r="AH35" s="70"/>
      <c r="AI35" s="70"/>
      <c r="AJ35" s="70"/>
      <c r="AK35" s="70"/>
      <c r="AL35" s="70"/>
      <c r="AM35" s="71"/>
      <c r="AN35" s="70"/>
      <c r="AO35" s="71"/>
      <c r="AP35" s="71"/>
      <c r="AQ35" s="71"/>
      <c r="AR35" s="70"/>
      <c r="AS35" s="70"/>
      <c r="AT35" s="70"/>
      <c r="AU35" s="71"/>
      <c r="AV35" s="70"/>
      <c r="AW35" s="71"/>
      <c r="AX35" s="71"/>
      <c r="AY35" s="71"/>
      <c r="AZ35" s="70"/>
      <c r="BA35" s="70"/>
      <c r="BB35" s="70"/>
      <c r="BC35" s="71"/>
      <c r="BD35" s="70"/>
      <c r="BE35" s="71"/>
      <c r="BF35" s="71"/>
      <c r="BG35" s="71"/>
      <c r="BH35" s="70"/>
      <c r="BI35" s="70"/>
      <c r="BJ35" s="70"/>
      <c r="BK35" s="71"/>
      <c r="BL35" s="70"/>
      <c r="BM35" s="71"/>
      <c r="BN35" s="71"/>
      <c r="BO35" s="71"/>
    </row>
    <row r="36" spans="1:67" ht="15" hidden="1" customHeight="1">
      <c r="A36" s="400"/>
      <c r="B36" s="250" t="s">
        <v>21</v>
      </c>
      <c r="C36" s="251"/>
      <c r="D36" s="366">
        <v>7</v>
      </c>
      <c r="E36" s="366">
        <v>7</v>
      </c>
      <c r="F36" s="366">
        <v>7</v>
      </c>
      <c r="G36" s="366">
        <v>7</v>
      </c>
      <c r="H36" s="366">
        <v>7</v>
      </c>
      <c r="I36" s="366">
        <v>7</v>
      </c>
      <c r="J36" s="366">
        <v>7</v>
      </c>
      <c r="K36" s="299"/>
      <c r="L36" s="299"/>
      <c r="M36" s="299"/>
      <c r="N36" s="299"/>
      <c r="O36" s="299"/>
      <c r="P36" s="299"/>
      <c r="Q36" s="299"/>
      <c r="R36" s="299"/>
      <c r="S36" s="299"/>
      <c r="T36" s="293"/>
      <c r="U36" s="71"/>
      <c r="V36" s="62"/>
      <c r="W36" s="62"/>
      <c r="X36" s="62"/>
      <c r="Y36" s="62"/>
      <c r="Z36" s="62"/>
      <c r="AA36" s="71"/>
      <c r="AB36" s="71"/>
      <c r="AC36" s="71"/>
      <c r="AE36" s="70"/>
      <c r="AF36" s="70"/>
      <c r="AG36" s="70"/>
      <c r="AH36" s="70"/>
      <c r="AI36" s="70"/>
      <c r="AJ36" s="70"/>
      <c r="AK36" s="70"/>
      <c r="AL36" s="70"/>
      <c r="AM36" s="71"/>
      <c r="AN36" s="70"/>
      <c r="AO36" s="71"/>
      <c r="AP36" s="71"/>
      <c r="AQ36" s="71"/>
      <c r="AR36" s="70"/>
      <c r="AS36" s="70"/>
      <c r="AT36" s="70"/>
      <c r="AU36" s="71"/>
      <c r="AV36" s="70"/>
      <c r="AW36" s="71"/>
      <c r="AX36" s="71"/>
      <c r="AY36" s="71"/>
      <c r="AZ36" s="70"/>
      <c r="BA36" s="70"/>
      <c r="BB36" s="70"/>
      <c r="BC36" s="71"/>
      <c r="BD36" s="70"/>
      <c r="BE36" s="71"/>
      <c r="BF36" s="71"/>
      <c r="BG36" s="71"/>
      <c r="BH36" s="70"/>
      <c r="BI36" s="70"/>
      <c r="BJ36" s="70"/>
      <c r="BK36" s="71"/>
      <c r="BL36" s="70"/>
      <c r="BM36" s="71"/>
      <c r="BN36" s="71"/>
      <c r="BO36" s="71"/>
    </row>
    <row r="37" spans="1:67" ht="15" hidden="1" customHeight="1">
      <c r="A37" s="401" t="b">
        <v>0</v>
      </c>
      <c r="B37" s="250" t="s">
        <v>22</v>
      </c>
      <c r="C37" s="251"/>
      <c r="D37" s="366">
        <v>14</v>
      </c>
      <c r="E37" s="366">
        <v>14</v>
      </c>
      <c r="F37" s="366">
        <v>14</v>
      </c>
      <c r="G37" s="366">
        <v>14</v>
      </c>
      <c r="H37" s="366">
        <v>14</v>
      </c>
      <c r="I37" s="366">
        <v>14</v>
      </c>
      <c r="J37" s="366">
        <v>14</v>
      </c>
      <c r="K37" s="299"/>
      <c r="L37" s="299"/>
      <c r="M37" s="299"/>
      <c r="N37" s="299"/>
      <c r="O37" s="299"/>
      <c r="P37" s="299"/>
      <c r="Q37" s="299"/>
      <c r="R37" s="299"/>
      <c r="S37" s="299"/>
      <c r="T37" s="293"/>
      <c r="U37" s="71"/>
      <c r="V37" s="62"/>
      <c r="W37" s="62"/>
      <c r="X37" s="62"/>
      <c r="Y37" s="62"/>
      <c r="Z37" s="62"/>
      <c r="AA37" s="71"/>
      <c r="AB37" s="71"/>
      <c r="AC37" s="71"/>
      <c r="AE37" s="70"/>
      <c r="AF37" s="70"/>
      <c r="AG37" s="70"/>
      <c r="AH37" s="70"/>
      <c r="AI37" s="70"/>
      <c r="AJ37" s="70"/>
      <c r="AK37" s="70"/>
      <c r="AL37" s="70"/>
      <c r="AM37" s="71"/>
      <c r="AN37" s="70"/>
      <c r="AO37" s="71"/>
      <c r="AP37" s="71"/>
      <c r="AQ37" s="71"/>
      <c r="AR37" s="70"/>
      <c r="AS37" s="70"/>
      <c r="AT37" s="70"/>
      <c r="AU37" s="71"/>
      <c r="AV37" s="70"/>
      <c r="AW37" s="71"/>
      <c r="AX37" s="71"/>
      <c r="AY37" s="71"/>
      <c r="AZ37" s="70"/>
      <c r="BA37" s="70"/>
      <c r="BB37" s="70"/>
      <c r="BC37" s="71"/>
      <c r="BD37" s="70"/>
      <c r="BE37" s="71"/>
      <c r="BF37" s="71"/>
      <c r="BG37" s="71"/>
      <c r="BH37" s="70"/>
      <c r="BI37" s="70"/>
      <c r="BJ37" s="70"/>
      <c r="BK37" s="71"/>
      <c r="BL37" s="70"/>
      <c r="BM37" s="71"/>
      <c r="BN37" s="71"/>
      <c r="BO37" s="71"/>
    </row>
    <row r="38" spans="1:67" ht="15" customHeight="1">
      <c r="A38" s="399" t="s">
        <v>37</v>
      </c>
      <c r="B38" s="250" t="s">
        <v>15</v>
      </c>
      <c r="C38" s="251"/>
      <c r="D38" s="361" t="s">
        <v>33</v>
      </c>
      <c r="E38" s="361" t="s">
        <v>33</v>
      </c>
      <c r="F38" s="361" t="s">
        <v>33</v>
      </c>
      <c r="G38" s="361"/>
      <c r="H38" s="361" t="s">
        <v>33</v>
      </c>
      <c r="I38" s="361" t="s">
        <v>33</v>
      </c>
      <c r="J38" s="361" t="s">
        <v>33</v>
      </c>
      <c r="K38" s="214"/>
      <c r="L38" s="214"/>
      <c r="M38" s="214"/>
      <c r="N38" s="214"/>
      <c r="O38" s="214"/>
      <c r="P38" s="214"/>
      <c r="Q38" s="214"/>
      <c r="R38" s="214"/>
      <c r="S38" s="214"/>
      <c r="T38" s="293"/>
      <c r="U38" s="65"/>
      <c r="V38" s="59"/>
      <c r="W38" s="65"/>
      <c r="X38" s="59"/>
      <c r="Y38" s="65"/>
      <c r="Z38" s="59"/>
      <c r="AA38" s="65"/>
      <c r="AC38" s="65"/>
      <c r="AE38" s="65"/>
      <c r="AF38" s="81"/>
      <c r="AG38" s="81"/>
      <c r="AH38" s="81"/>
      <c r="AI38" s="81"/>
      <c r="AJ38" s="81"/>
      <c r="AK38" s="81"/>
      <c r="AL38" s="81"/>
      <c r="AN38" s="81"/>
      <c r="AO38" s="65"/>
      <c r="AP38" s="65"/>
      <c r="AQ38" s="65"/>
      <c r="AR38" s="81"/>
      <c r="AS38" s="81"/>
      <c r="AT38" s="81"/>
      <c r="AV38" s="81"/>
      <c r="AW38" s="65"/>
      <c r="AX38" s="65"/>
      <c r="AY38" s="65"/>
      <c r="AZ38" s="81"/>
      <c r="BA38" s="81"/>
      <c r="BB38" s="81"/>
      <c r="BC38" s="58"/>
      <c r="BD38" s="81"/>
      <c r="BE38" s="65"/>
      <c r="BF38" s="65"/>
      <c r="BG38" s="65"/>
      <c r="BH38" s="81"/>
      <c r="BI38" s="81"/>
      <c r="BJ38" s="81"/>
      <c r="BL38" s="81"/>
      <c r="BM38" s="65"/>
      <c r="BN38" s="65"/>
      <c r="BO38" s="65"/>
    </row>
    <row r="39" spans="1:67" ht="15" customHeight="1">
      <c r="A39" s="403" t="s">
        <v>38</v>
      </c>
      <c r="B39" s="274" t="s">
        <v>17</v>
      </c>
      <c r="C39" s="275" t="s">
        <v>18</v>
      </c>
      <c r="D39" s="367">
        <v>83</v>
      </c>
      <c r="E39" s="367">
        <v>83</v>
      </c>
      <c r="F39" s="367">
        <v>83</v>
      </c>
      <c r="G39" s="367"/>
      <c r="H39" s="367">
        <v>83</v>
      </c>
      <c r="I39" s="367">
        <v>83</v>
      </c>
      <c r="J39" s="367">
        <v>83</v>
      </c>
      <c r="K39" s="189"/>
      <c r="L39" s="189"/>
      <c r="M39" s="189"/>
      <c r="N39" s="189"/>
      <c r="O39" s="189"/>
      <c r="P39" s="189"/>
      <c r="Q39" s="189"/>
      <c r="R39" s="189"/>
      <c r="S39" s="189"/>
      <c r="T39" s="293"/>
      <c r="U39" s="71"/>
      <c r="V39" s="70"/>
      <c r="W39" s="70"/>
      <c r="X39" s="70"/>
      <c r="Y39" s="70"/>
      <c r="Z39" s="70"/>
      <c r="AA39" s="70"/>
      <c r="AB39" s="70"/>
      <c r="AC39" s="70"/>
      <c r="AE39" s="59"/>
      <c r="AF39" s="59"/>
      <c r="AG39" s="59"/>
      <c r="AH39" s="59"/>
      <c r="AI39" s="59"/>
      <c r="AJ39" s="59"/>
      <c r="AK39" s="59"/>
      <c r="AL39" s="59"/>
      <c r="AM39" s="70"/>
      <c r="AN39" s="59"/>
      <c r="AO39" s="82"/>
      <c r="AP39" s="70"/>
      <c r="AQ39" s="70"/>
      <c r="AR39" s="59"/>
      <c r="AS39" s="59"/>
      <c r="AT39" s="59"/>
      <c r="AU39" s="70"/>
      <c r="AV39" s="59"/>
      <c r="AW39" s="82"/>
      <c r="AX39" s="70"/>
      <c r="AY39" s="70"/>
      <c r="AZ39" s="59"/>
      <c r="BA39" s="59"/>
      <c r="BB39" s="59"/>
      <c r="BC39" s="70"/>
      <c r="BE39" s="82"/>
      <c r="BF39" s="70"/>
      <c r="BG39" s="70"/>
      <c r="BH39" s="59"/>
      <c r="BI39" s="59"/>
      <c r="BJ39" s="59"/>
      <c r="BK39" s="70"/>
      <c r="BL39" s="59"/>
      <c r="BM39" s="82"/>
      <c r="BN39" s="70"/>
      <c r="BO39" s="70"/>
    </row>
    <row r="40" spans="1:67" ht="15" hidden="1" customHeight="1">
      <c r="A40" s="404"/>
      <c r="B40" s="274" t="s">
        <v>19</v>
      </c>
      <c r="C40" s="275" t="s">
        <v>20</v>
      </c>
      <c r="D40" s="360">
        <v>0</v>
      </c>
      <c r="E40" s="360">
        <v>0</v>
      </c>
      <c r="F40" s="360">
        <v>0</v>
      </c>
      <c r="G40" s="360"/>
      <c r="H40" s="360">
        <v>0</v>
      </c>
      <c r="I40" s="360">
        <v>0</v>
      </c>
      <c r="J40" s="360">
        <v>0</v>
      </c>
      <c r="K40" s="188"/>
      <c r="L40" s="188"/>
      <c r="M40" s="188"/>
      <c r="N40" s="188"/>
      <c r="O40" s="188"/>
      <c r="P40" s="188"/>
      <c r="Q40" s="188"/>
      <c r="R40" s="188"/>
      <c r="S40" s="188"/>
      <c r="T40" s="293"/>
      <c r="U40" s="83"/>
      <c r="V40" s="68"/>
      <c r="W40" s="61"/>
      <c r="X40" s="68"/>
      <c r="Y40" s="61"/>
      <c r="Z40" s="68"/>
      <c r="AA40" s="61"/>
      <c r="AB40" s="68"/>
      <c r="AC40" s="61"/>
      <c r="AM40" s="68"/>
      <c r="AO40" s="59"/>
      <c r="AP40" s="63"/>
      <c r="AQ40" s="59"/>
      <c r="AU40" s="68"/>
      <c r="AW40" s="59"/>
      <c r="AX40" s="63"/>
      <c r="AY40" s="59"/>
      <c r="BC40" s="68"/>
      <c r="BD40" s="58"/>
      <c r="BF40" s="63"/>
      <c r="BG40" s="59"/>
      <c r="BK40" s="68"/>
      <c r="BM40" s="59"/>
      <c r="BN40" s="63"/>
      <c r="BO40" s="59"/>
    </row>
    <row r="41" spans="1:67" ht="15" hidden="1" customHeight="1">
      <c r="A41" s="400"/>
      <c r="B41" s="250" t="s">
        <v>21</v>
      </c>
      <c r="C41" s="251"/>
      <c r="D41" s="366">
        <v>13</v>
      </c>
      <c r="E41" s="366">
        <v>13</v>
      </c>
      <c r="F41" s="366">
        <v>13</v>
      </c>
      <c r="G41" s="366">
        <v>0</v>
      </c>
      <c r="H41" s="366">
        <v>13</v>
      </c>
      <c r="I41" s="366">
        <v>13</v>
      </c>
      <c r="J41" s="366">
        <v>13</v>
      </c>
      <c r="K41" s="299"/>
      <c r="L41" s="299"/>
      <c r="M41" s="299"/>
      <c r="N41" s="299"/>
      <c r="O41" s="299"/>
      <c r="P41" s="299"/>
      <c r="Q41" s="299"/>
      <c r="R41" s="299"/>
      <c r="S41" s="299"/>
      <c r="T41" s="293"/>
      <c r="U41" s="59"/>
      <c r="V41" s="59"/>
      <c r="W41" s="59"/>
      <c r="X41" s="59"/>
      <c r="Y41" s="59"/>
      <c r="Z41" s="59"/>
      <c r="AD41" s="59"/>
      <c r="BC41" s="58"/>
      <c r="BD41" s="58"/>
      <c r="BE41" s="58"/>
      <c r="BF41" s="58"/>
    </row>
    <row r="42" spans="1:67" ht="15" hidden="1" customHeight="1">
      <c r="A42" s="401" t="b">
        <v>1</v>
      </c>
      <c r="B42" s="250" t="s">
        <v>22</v>
      </c>
      <c r="C42" s="251"/>
      <c r="D42" s="366">
        <v>27</v>
      </c>
      <c r="E42" s="366">
        <v>27</v>
      </c>
      <c r="F42" s="366">
        <v>27</v>
      </c>
      <c r="G42" s="366">
        <v>0</v>
      </c>
      <c r="H42" s="366">
        <v>27</v>
      </c>
      <c r="I42" s="366">
        <v>27</v>
      </c>
      <c r="J42" s="366">
        <v>27</v>
      </c>
      <c r="K42" s="299"/>
      <c r="L42" s="299"/>
      <c r="M42" s="299"/>
      <c r="N42" s="299"/>
      <c r="O42" s="299"/>
      <c r="P42" s="299"/>
      <c r="Q42" s="299"/>
      <c r="R42" s="299"/>
      <c r="S42" s="299"/>
      <c r="T42" s="293"/>
      <c r="U42" s="59"/>
      <c r="V42" s="59"/>
      <c r="W42" s="59"/>
      <c r="X42" s="59"/>
      <c r="Y42" s="59"/>
      <c r="Z42" s="59"/>
      <c r="BC42" s="58"/>
      <c r="BD42" s="58"/>
      <c r="BE42" s="58"/>
      <c r="BF42" s="58"/>
    </row>
    <row r="43" spans="1:67" ht="15" customHeight="1">
      <c r="A43" s="399" t="s">
        <v>39</v>
      </c>
      <c r="B43" s="274" t="s">
        <v>15</v>
      </c>
      <c r="C43" s="275"/>
      <c r="D43" s="364" t="s">
        <v>35</v>
      </c>
      <c r="E43" s="364" t="s">
        <v>35</v>
      </c>
      <c r="F43" s="364" t="s">
        <v>35</v>
      </c>
      <c r="G43" s="364" t="s">
        <v>35</v>
      </c>
      <c r="H43" s="364" t="s">
        <v>35</v>
      </c>
      <c r="I43" s="364" t="s">
        <v>35</v>
      </c>
      <c r="J43" s="364" t="s">
        <v>35</v>
      </c>
      <c r="K43" s="215"/>
      <c r="L43" s="215"/>
      <c r="M43" s="215"/>
      <c r="N43" s="215"/>
      <c r="O43" s="215"/>
      <c r="P43" s="215"/>
      <c r="Q43" s="215"/>
      <c r="R43" s="215"/>
      <c r="S43" s="215"/>
      <c r="T43" s="293"/>
      <c r="U43" s="59"/>
      <c r="V43" s="59"/>
      <c r="W43" s="59"/>
      <c r="X43" s="59"/>
      <c r="Y43" s="59"/>
      <c r="Z43" s="59"/>
      <c r="BC43" s="58"/>
      <c r="BD43" s="58"/>
      <c r="BE43" s="58"/>
      <c r="BF43" s="58"/>
    </row>
    <row r="44" spans="1:67" ht="15" customHeight="1" thickBot="1">
      <c r="A44" s="397" t="s">
        <v>38</v>
      </c>
      <c r="B44" s="274" t="s">
        <v>17</v>
      </c>
      <c r="C44" s="275" t="s">
        <v>18</v>
      </c>
      <c r="D44" s="368">
        <v>93.9</v>
      </c>
      <c r="E44" s="368">
        <v>93.9</v>
      </c>
      <c r="F44" s="368">
        <v>93.9</v>
      </c>
      <c r="G44" s="368">
        <v>93.9</v>
      </c>
      <c r="H44" s="368">
        <v>93.9</v>
      </c>
      <c r="I44" s="368">
        <v>93.9</v>
      </c>
      <c r="J44" s="368">
        <v>93.9</v>
      </c>
      <c r="K44" s="190"/>
      <c r="L44" s="190"/>
      <c r="M44" s="190"/>
      <c r="N44" s="190"/>
      <c r="O44" s="190"/>
      <c r="P44" s="190"/>
      <c r="Q44" s="190"/>
      <c r="R44" s="190"/>
      <c r="S44" s="190"/>
      <c r="T44" s="293"/>
      <c r="U44" s="59"/>
      <c r="V44" s="59"/>
      <c r="W44" s="59"/>
      <c r="X44" s="59"/>
      <c r="Y44" s="59"/>
      <c r="Z44" s="59"/>
      <c r="BC44" s="58"/>
      <c r="BD44" s="58"/>
      <c r="BE44" s="58"/>
      <c r="BF44" s="58"/>
    </row>
    <row r="45" spans="1:67" ht="15" hidden="1" customHeight="1">
      <c r="A45" s="400"/>
      <c r="B45" s="274" t="s">
        <v>19</v>
      </c>
      <c r="C45" s="275" t="s">
        <v>20</v>
      </c>
      <c r="D45" s="360">
        <v>0.45</v>
      </c>
      <c r="E45" s="360">
        <v>0.45</v>
      </c>
      <c r="F45" s="360">
        <v>0.45</v>
      </c>
      <c r="G45" s="360">
        <v>0.45</v>
      </c>
      <c r="H45" s="360">
        <v>0.45</v>
      </c>
      <c r="I45" s="360">
        <v>0.45</v>
      </c>
      <c r="J45" s="360">
        <v>0.45</v>
      </c>
      <c r="K45" s="188"/>
      <c r="L45" s="188"/>
      <c r="M45" s="188"/>
      <c r="N45" s="188"/>
      <c r="O45" s="188"/>
      <c r="P45" s="188"/>
      <c r="Q45" s="188"/>
      <c r="R45" s="188"/>
      <c r="S45" s="188"/>
      <c r="T45" s="293"/>
      <c r="U45" s="59"/>
      <c r="V45" s="72"/>
      <c r="W45" s="59"/>
      <c r="X45" s="72"/>
      <c r="Y45" s="59"/>
      <c r="Z45" s="72"/>
      <c r="AB45" s="72"/>
      <c r="AD45" s="59"/>
      <c r="AM45" s="72"/>
      <c r="AO45" s="68"/>
      <c r="AU45" s="72"/>
      <c r="AW45" s="68"/>
      <c r="BC45" s="72"/>
      <c r="BD45" s="58"/>
      <c r="BE45" s="68"/>
      <c r="BF45" s="58"/>
      <c r="BK45" s="72"/>
      <c r="BM45" s="68"/>
    </row>
    <row r="46" spans="1:67" ht="15" hidden="1" customHeight="1">
      <c r="A46" s="400"/>
      <c r="B46" s="250" t="s">
        <v>21</v>
      </c>
      <c r="C46" s="251"/>
      <c r="D46" s="366">
        <v>4</v>
      </c>
      <c r="E46" s="366">
        <v>4</v>
      </c>
      <c r="F46" s="366">
        <v>4</v>
      </c>
      <c r="G46" s="366">
        <v>4</v>
      </c>
      <c r="H46" s="366">
        <v>4</v>
      </c>
      <c r="I46" s="366">
        <v>4</v>
      </c>
      <c r="J46" s="366">
        <v>4</v>
      </c>
      <c r="K46" s="299"/>
      <c r="L46" s="299"/>
      <c r="M46" s="299"/>
      <c r="N46" s="299"/>
      <c r="O46" s="299"/>
      <c r="P46" s="299"/>
      <c r="Q46" s="299"/>
      <c r="R46" s="299"/>
      <c r="S46" s="299"/>
      <c r="T46" s="293"/>
      <c r="U46" s="59"/>
      <c r="V46" s="70"/>
      <c r="W46" s="59"/>
      <c r="X46" s="70"/>
      <c r="Y46" s="59"/>
      <c r="Z46" s="70"/>
      <c r="AA46" s="59"/>
      <c r="AB46" s="70"/>
      <c r="AC46" s="59"/>
      <c r="AD46" s="59"/>
      <c r="AE46" s="59"/>
      <c r="AF46" s="59"/>
      <c r="AM46" s="70"/>
      <c r="AO46" s="59"/>
      <c r="AP46" s="59"/>
      <c r="AQ46" s="59"/>
      <c r="AU46" s="70"/>
      <c r="AW46" s="59"/>
      <c r="AX46" s="59"/>
      <c r="AY46" s="59"/>
      <c r="BC46" s="70"/>
      <c r="BD46" s="58"/>
      <c r="BG46" s="59"/>
      <c r="BK46" s="70"/>
      <c r="BM46" s="59"/>
      <c r="BN46" s="59"/>
      <c r="BO46" s="59"/>
    </row>
    <row r="47" spans="1:67" ht="15" hidden="1" customHeight="1">
      <c r="A47" s="453" t="b">
        <v>1</v>
      </c>
      <c r="B47" s="250" t="s">
        <v>22</v>
      </c>
      <c r="C47" s="251"/>
      <c r="D47" s="366">
        <v>9</v>
      </c>
      <c r="E47" s="366">
        <v>9</v>
      </c>
      <c r="F47" s="366">
        <v>9</v>
      </c>
      <c r="G47" s="366">
        <v>9</v>
      </c>
      <c r="H47" s="366">
        <v>9</v>
      </c>
      <c r="I47" s="366">
        <v>9</v>
      </c>
      <c r="J47" s="366">
        <v>9</v>
      </c>
      <c r="K47" s="299"/>
      <c r="L47" s="299"/>
      <c r="M47" s="299"/>
      <c r="N47" s="299"/>
      <c r="O47" s="299"/>
      <c r="P47" s="299"/>
      <c r="Q47" s="299"/>
      <c r="R47" s="299"/>
      <c r="S47" s="299"/>
      <c r="T47" s="293"/>
      <c r="U47" s="59"/>
      <c r="V47" s="70"/>
      <c r="W47" s="59"/>
      <c r="X47" s="70"/>
      <c r="Y47" s="59"/>
      <c r="Z47" s="70"/>
      <c r="AB47" s="70"/>
      <c r="AD47" s="59"/>
      <c r="AM47" s="70"/>
      <c r="AU47" s="70"/>
      <c r="BC47" s="70"/>
      <c r="BD47" s="58"/>
      <c r="BE47" s="58"/>
      <c r="BF47" s="58"/>
      <c r="BK47" s="70"/>
    </row>
    <row r="48" spans="1:67" ht="15" hidden="1" customHeight="1">
      <c r="A48" s="399" t="s">
        <v>40</v>
      </c>
      <c r="B48" s="250" t="s">
        <v>15</v>
      </c>
      <c r="C48" s="251"/>
      <c r="D48" s="364" t="s">
        <v>41</v>
      </c>
      <c r="E48" s="364" t="s">
        <v>41</v>
      </c>
      <c r="F48" s="364" t="s">
        <v>41</v>
      </c>
      <c r="G48" s="364" t="s">
        <v>41</v>
      </c>
      <c r="H48" s="364" t="s">
        <v>41</v>
      </c>
      <c r="I48" s="364" t="s">
        <v>41</v>
      </c>
      <c r="J48" s="364" t="s">
        <v>41</v>
      </c>
      <c r="K48" s="215"/>
      <c r="L48" s="215"/>
      <c r="M48" s="215"/>
      <c r="N48" s="215"/>
      <c r="O48" s="215"/>
      <c r="P48" s="215"/>
      <c r="Q48" s="215"/>
      <c r="R48" s="215"/>
      <c r="S48" s="215"/>
      <c r="T48" s="293"/>
      <c r="U48" s="59"/>
      <c r="V48" s="59"/>
      <c r="W48" s="62"/>
      <c r="X48" s="62"/>
      <c r="Y48" s="62"/>
      <c r="Z48" s="62"/>
      <c r="AA48" s="77"/>
      <c r="AD48" s="59"/>
      <c r="BC48" s="58"/>
      <c r="BD48" s="58"/>
      <c r="BE48" s="58"/>
      <c r="BF48" s="58"/>
    </row>
    <row r="49" spans="1:67" ht="15" hidden="1" customHeight="1">
      <c r="A49" s="397" t="s">
        <v>42</v>
      </c>
      <c r="B49" s="274" t="s">
        <v>17</v>
      </c>
      <c r="C49" s="275" t="s">
        <v>18</v>
      </c>
      <c r="D49" s="368">
        <v>230</v>
      </c>
      <c r="E49" s="368">
        <v>230</v>
      </c>
      <c r="F49" s="368">
        <v>230</v>
      </c>
      <c r="G49" s="368">
        <v>230</v>
      </c>
      <c r="H49" s="368">
        <v>230</v>
      </c>
      <c r="I49" s="368">
        <v>230</v>
      </c>
      <c r="J49" s="368">
        <v>230</v>
      </c>
      <c r="K49" s="190"/>
      <c r="L49" s="190"/>
      <c r="M49" s="190"/>
      <c r="N49" s="190"/>
      <c r="O49" s="190"/>
      <c r="P49" s="190"/>
      <c r="Q49" s="190"/>
      <c r="R49" s="190"/>
      <c r="S49" s="190"/>
      <c r="T49" s="293"/>
      <c r="U49" s="59"/>
      <c r="V49" s="59"/>
      <c r="W49" s="62"/>
      <c r="X49" s="62"/>
      <c r="Y49" s="62"/>
      <c r="Z49" s="62"/>
      <c r="AA49" s="77"/>
      <c r="AD49" s="59"/>
      <c r="BC49" s="58"/>
      <c r="BD49" s="58"/>
      <c r="BE49" s="58"/>
      <c r="BF49" s="58"/>
    </row>
    <row r="50" spans="1:67" ht="15" hidden="1" customHeight="1" thickBot="1">
      <c r="A50" s="400"/>
      <c r="B50" s="274" t="s">
        <v>19</v>
      </c>
      <c r="C50" s="275" t="s">
        <v>20</v>
      </c>
      <c r="D50" s="360">
        <v>0</v>
      </c>
      <c r="E50" s="360">
        <v>0</v>
      </c>
      <c r="F50" s="360">
        <v>0</v>
      </c>
      <c r="G50" s="360">
        <v>0</v>
      </c>
      <c r="H50" s="360">
        <v>0</v>
      </c>
      <c r="I50" s="360">
        <v>0</v>
      </c>
      <c r="J50" s="360">
        <v>0</v>
      </c>
      <c r="K50" s="188"/>
      <c r="L50" s="188"/>
      <c r="M50" s="188"/>
      <c r="N50" s="188"/>
      <c r="O50" s="188"/>
      <c r="P50" s="188"/>
      <c r="Q50" s="188"/>
      <c r="R50" s="188"/>
      <c r="S50" s="188"/>
      <c r="T50" s="293"/>
      <c r="U50" s="59"/>
      <c r="V50" s="59"/>
      <c r="W50" s="62"/>
      <c r="X50" s="62"/>
      <c r="Y50" s="62"/>
      <c r="Z50" s="62"/>
      <c r="AA50" s="77"/>
      <c r="AC50" s="59"/>
      <c r="AD50" s="59"/>
      <c r="AE50" s="59"/>
      <c r="AF50" s="59"/>
      <c r="AG50" s="59"/>
      <c r="AO50" s="59"/>
      <c r="AP50" s="59"/>
      <c r="AQ50" s="59"/>
      <c r="AW50" s="59"/>
      <c r="AX50" s="59"/>
      <c r="AY50" s="59"/>
      <c r="BC50" s="58"/>
      <c r="BD50" s="58"/>
      <c r="BG50" s="59"/>
      <c r="BM50" s="59"/>
      <c r="BN50" s="59"/>
      <c r="BO50" s="59"/>
    </row>
    <row r="51" spans="1:67" ht="15" hidden="1" customHeight="1" thickBot="1">
      <c r="A51" s="454" t="s">
        <v>43</v>
      </c>
      <c r="B51" s="250" t="s">
        <v>21</v>
      </c>
      <c r="C51" s="251"/>
      <c r="D51" s="366">
        <v>2</v>
      </c>
      <c r="E51" s="366">
        <v>2</v>
      </c>
      <c r="F51" s="366">
        <v>2</v>
      </c>
      <c r="G51" s="366">
        <v>2</v>
      </c>
      <c r="H51" s="366">
        <v>2</v>
      </c>
      <c r="I51" s="366">
        <v>2</v>
      </c>
      <c r="J51" s="366">
        <v>2</v>
      </c>
      <c r="K51" s="299"/>
      <c r="L51" s="299"/>
      <c r="M51" s="299"/>
      <c r="N51" s="299"/>
      <c r="O51" s="299"/>
      <c r="P51" s="299"/>
      <c r="Q51" s="299"/>
      <c r="R51" s="299"/>
      <c r="S51" s="299"/>
      <c r="T51" s="293"/>
      <c r="U51" s="59"/>
      <c r="V51" s="59"/>
      <c r="W51" s="62"/>
      <c r="X51" s="62"/>
      <c r="Y51" s="62"/>
      <c r="Z51" s="62"/>
      <c r="AA51" s="77"/>
      <c r="AC51" s="59"/>
      <c r="AD51" s="59"/>
      <c r="AE51" s="59"/>
      <c r="AF51" s="59"/>
      <c r="AG51" s="59"/>
      <c r="AO51" s="59"/>
      <c r="AP51" s="59"/>
      <c r="AQ51" s="59"/>
      <c r="AW51" s="59"/>
      <c r="AX51" s="59"/>
      <c r="AY51" s="59"/>
      <c r="BC51" s="58"/>
      <c r="BD51" s="58"/>
      <c r="BG51" s="59"/>
      <c r="BM51" s="59"/>
      <c r="BN51" s="59"/>
      <c r="BO51" s="59"/>
    </row>
    <row r="52" spans="1:67" ht="15" hidden="1" customHeight="1" thickBot="1">
      <c r="A52" s="453" t="b">
        <v>0</v>
      </c>
      <c r="B52" s="250" t="s">
        <v>22</v>
      </c>
      <c r="C52" s="251"/>
      <c r="D52" s="366">
        <v>4</v>
      </c>
      <c r="E52" s="366">
        <v>4</v>
      </c>
      <c r="F52" s="366">
        <v>4</v>
      </c>
      <c r="G52" s="366">
        <v>4</v>
      </c>
      <c r="H52" s="366">
        <v>4</v>
      </c>
      <c r="I52" s="366">
        <v>4</v>
      </c>
      <c r="J52" s="366">
        <v>4</v>
      </c>
      <c r="K52" s="299"/>
      <c r="L52" s="299"/>
      <c r="M52" s="299"/>
      <c r="N52" s="299"/>
      <c r="O52" s="299"/>
      <c r="P52" s="299"/>
      <c r="Q52" s="299"/>
      <c r="R52" s="299"/>
      <c r="S52" s="299"/>
      <c r="T52" s="293"/>
      <c r="U52" s="59"/>
      <c r="V52" s="59"/>
      <c r="W52" s="62"/>
      <c r="X52" s="62"/>
      <c r="Y52" s="62"/>
      <c r="Z52" s="62"/>
      <c r="AA52" s="77"/>
      <c r="AC52" s="59"/>
      <c r="AD52" s="59"/>
      <c r="AE52" s="59"/>
      <c r="AF52" s="59"/>
      <c r="AG52" s="59"/>
      <c r="AO52" s="59"/>
      <c r="AP52" s="59"/>
      <c r="AQ52" s="59"/>
      <c r="AW52" s="59"/>
      <c r="AX52" s="59"/>
      <c r="AY52" s="59"/>
      <c r="BC52" s="58"/>
      <c r="BD52" s="58"/>
      <c r="BG52" s="59"/>
      <c r="BM52" s="59"/>
      <c r="BN52" s="59"/>
      <c r="BO52" s="59"/>
    </row>
    <row r="53" spans="1:67" ht="15" hidden="1" customHeight="1">
      <c r="A53" s="399" t="s">
        <v>44</v>
      </c>
      <c r="B53" s="250" t="s">
        <v>15</v>
      </c>
      <c r="C53" s="251"/>
      <c r="D53" s="361" t="s">
        <v>41</v>
      </c>
      <c r="E53" s="361" t="s">
        <v>41</v>
      </c>
      <c r="F53" s="361" t="s">
        <v>41</v>
      </c>
      <c r="G53" s="361" t="s">
        <v>41</v>
      </c>
      <c r="H53" s="361" t="s">
        <v>41</v>
      </c>
      <c r="I53" s="361" t="s">
        <v>41</v>
      </c>
      <c r="J53" s="361" t="s">
        <v>41</v>
      </c>
      <c r="K53" s="214"/>
      <c r="L53" s="214"/>
      <c r="M53" s="214"/>
      <c r="N53" s="214"/>
      <c r="O53" s="214"/>
      <c r="P53" s="214"/>
      <c r="Q53" s="214"/>
      <c r="R53" s="214"/>
      <c r="S53" s="214"/>
      <c r="T53" s="293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M53" s="59"/>
      <c r="AO53" s="59"/>
      <c r="AP53" s="59"/>
      <c r="AQ53" s="59"/>
      <c r="AU53" s="59"/>
      <c r="AW53" s="59"/>
      <c r="AX53" s="59"/>
      <c r="AY53" s="59"/>
      <c r="BD53" s="58"/>
      <c r="BG53" s="59"/>
      <c r="BK53" s="59"/>
      <c r="BM53" s="59"/>
      <c r="BN53" s="59"/>
      <c r="BO53" s="59"/>
    </row>
    <row r="54" spans="1:67" ht="15" hidden="1" customHeight="1">
      <c r="A54" s="397" t="s">
        <v>27</v>
      </c>
      <c r="B54" s="274" t="s">
        <v>17</v>
      </c>
      <c r="C54" s="275" t="s">
        <v>18</v>
      </c>
      <c r="D54" s="367">
        <v>230</v>
      </c>
      <c r="E54" s="367">
        <v>230</v>
      </c>
      <c r="F54" s="367">
        <v>230</v>
      </c>
      <c r="G54" s="367">
        <v>230</v>
      </c>
      <c r="H54" s="367">
        <v>230</v>
      </c>
      <c r="I54" s="367">
        <v>230</v>
      </c>
      <c r="J54" s="367">
        <v>230</v>
      </c>
      <c r="K54" s="189"/>
      <c r="L54" s="189"/>
      <c r="M54" s="189"/>
      <c r="N54" s="189"/>
      <c r="O54" s="189"/>
      <c r="P54" s="189"/>
      <c r="Q54" s="189"/>
      <c r="R54" s="189"/>
      <c r="S54" s="189"/>
      <c r="T54" s="293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M54" s="59"/>
      <c r="AO54" s="59"/>
      <c r="AP54" s="59"/>
      <c r="AQ54" s="59"/>
      <c r="AU54" s="59"/>
      <c r="AW54" s="59"/>
      <c r="AX54" s="59"/>
      <c r="AY54" s="59"/>
      <c r="BD54" s="58"/>
      <c r="BG54" s="59"/>
      <c r="BK54" s="59"/>
      <c r="BM54" s="59"/>
      <c r="BN54" s="59"/>
      <c r="BO54" s="59"/>
    </row>
    <row r="55" spans="1:67" ht="15" hidden="1" customHeight="1">
      <c r="A55" s="400"/>
      <c r="B55" s="274" t="s">
        <v>19</v>
      </c>
      <c r="C55" s="275" t="s">
        <v>20</v>
      </c>
      <c r="D55" s="369" t="s">
        <v>45</v>
      </c>
      <c r="E55" s="369" t="s">
        <v>45</v>
      </c>
      <c r="F55" s="369" t="s">
        <v>45</v>
      </c>
      <c r="G55" s="369" t="s">
        <v>45</v>
      </c>
      <c r="H55" s="369" t="s">
        <v>45</v>
      </c>
      <c r="I55" s="369" t="s">
        <v>45</v>
      </c>
      <c r="J55" s="369" t="s">
        <v>45</v>
      </c>
      <c r="K55" s="300"/>
      <c r="L55" s="300"/>
      <c r="M55" s="300"/>
      <c r="N55" s="300"/>
      <c r="O55" s="300"/>
      <c r="P55" s="300"/>
      <c r="Q55" s="300"/>
      <c r="R55" s="300"/>
      <c r="S55" s="300"/>
      <c r="T55" s="293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M55" s="59"/>
      <c r="AO55" s="59"/>
      <c r="AP55" s="59"/>
      <c r="AQ55" s="59"/>
      <c r="AU55" s="59"/>
      <c r="AW55" s="59"/>
      <c r="AX55" s="59"/>
      <c r="AY55" s="59"/>
      <c r="BD55" s="58"/>
      <c r="BG55" s="59"/>
      <c r="BK55" s="59"/>
      <c r="BM55" s="59"/>
      <c r="BN55" s="59"/>
      <c r="BO55" s="59"/>
    </row>
    <row r="56" spans="1:67" ht="15" hidden="1" customHeight="1">
      <c r="A56" s="400"/>
      <c r="B56" s="250" t="s">
        <v>21</v>
      </c>
      <c r="C56" s="251"/>
      <c r="D56" s="366">
        <v>2</v>
      </c>
      <c r="E56" s="366">
        <v>2</v>
      </c>
      <c r="F56" s="366">
        <v>2</v>
      </c>
      <c r="G56" s="366">
        <v>2</v>
      </c>
      <c r="H56" s="366">
        <v>2</v>
      </c>
      <c r="I56" s="366">
        <v>2</v>
      </c>
      <c r="J56" s="366">
        <v>2</v>
      </c>
      <c r="K56" s="299"/>
      <c r="L56" s="299"/>
      <c r="M56" s="299"/>
      <c r="N56" s="299"/>
      <c r="O56" s="299"/>
      <c r="P56" s="299"/>
      <c r="Q56" s="299"/>
      <c r="R56" s="299"/>
      <c r="S56" s="299"/>
      <c r="T56" s="293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M56" s="59"/>
      <c r="AO56" s="59"/>
      <c r="AP56" s="59"/>
      <c r="AQ56" s="59"/>
      <c r="AU56" s="59"/>
      <c r="AW56" s="59"/>
      <c r="AX56" s="59"/>
      <c r="AY56" s="59"/>
      <c r="BD56" s="58"/>
      <c r="BG56" s="59"/>
      <c r="BK56" s="59"/>
      <c r="BM56" s="59"/>
      <c r="BN56" s="59"/>
      <c r="BO56" s="59"/>
    </row>
    <row r="57" spans="1:67" ht="15" hidden="1" customHeight="1">
      <c r="A57" s="401" t="b">
        <v>0</v>
      </c>
      <c r="B57" s="250" t="s">
        <v>22</v>
      </c>
      <c r="C57" s="251"/>
      <c r="D57" s="366">
        <v>4</v>
      </c>
      <c r="E57" s="366">
        <v>4</v>
      </c>
      <c r="F57" s="366">
        <v>4</v>
      </c>
      <c r="G57" s="366">
        <v>4</v>
      </c>
      <c r="H57" s="366">
        <v>4</v>
      </c>
      <c r="I57" s="366">
        <v>4</v>
      </c>
      <c r="J57" s="366">
        <v>4</v>
      </c>
      <c r="K57" s="299"/>
      <c r="L57" s="299"/>
      <c r="M57" s="299"/>
      <c r="N57" s="299"/>
      <c r="O57" s="299"/>
      <c r="P57" s="299"/>
      <c r="Q57" s="299"/>
      <c r="R57" s="299"/>
      <c r="S57" s="299"/>
      <c r="T57" s="293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  <c r="AG57" s="59"/>
      <c r="AM57" s="59"/>
      <c r="AO57" s="59"/>
      <c r="AP57" s="59"/>
      <c r="AQ57" s="59"/>
      <c r="AU57" s="59"/>
      <c r="AW57" s="59"/>
      <c r="AX57" s="59"/>
      <c r="AY57" s="59"/>
      <c r="BD57" s="58"/>
      <c r="BG57" s="59"/>
      <c r="BK57" s="59"/>
      <c r="BM57" s="59"/>
      <c r="BN57" s="59"/>
      <c r="BO57" s="59"/>
    </row>
    <row r="58" spans="1:67" ht="15" hidden="1" customHeight="1">
      <c r="A58" s="399" t="s">
        <v>40</v>
      </c>
      <c r="B58" s="250" t="s">
        <v>15</v>
      </c>
      <c r="C58" s="251"/>
      <c r="D58" s="361" t="s">
        <v>41</v>
      </c>
      <c r="E58" s="361" t="s">
        <v>41</v>
      </c>
      <c r="F58" s="361" t="s">
        <v>41</v>
      </c>
      <c r="G58" s="361" t="s">
        <v>41</v>
      </c>
      <c r="H58" s="361" t="s">
        <v>41</v>
      </c>
      <c r="I58" s="361" t="s">
        <v>41</v>
      </c>
      <c r="J58" s="361" t="s">
        <v>41</v>
      </c>
      <c r="K58" s="214"/>
      <c r="L58" s="214"/>
      <c r="M58" s="214"/>
      <c r="N58" s="214"/>
      <c r="O58" s="214"/>
      <c r="P58" s="214"/>
      <c r="Q58" s="214"/>
      <c r="R58" s="214"/>
      <c r="S58" s="214"/>
      <c r="T58" s="293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M58" s="59"/>
      <c r="AO58" s="59"/>
      <c r="AP58" s="59"/>
      <c r="AQ58" s="59"/>
      <c r="AU58" s="59"/>
      <c r="AW58" s="59"/>
      <c r="AX58" s="59"/>
      <c r="AY58" s="59"/>
      <c r="BD58" s="58"/>
      <c r="BG58" s="59"/>
      <c r="BK58" s="59"/>
      <c r="BM58" s="59"/>
      <c r="BN58" s="59"/>
      <c r="BO58" s="59"/>
    </row>
    <row r="59" spans="1:67" ht="15" hidden="1" customHeight="1" thickBot="1">
      <c r="A59" s="397" t="s">
        <v>44</v>
      </c>
      <c r="B59" s="274" t="s">
        <v>17</v>
      </c>
      <c r="C59" s="275" t="s">
        <v>18</v>
      </c>
      <c r="D59" s="368">
        <v>230</v>
      </c>
      <c r="E59" s="368">
        <v>230</v>
      </c>
      <c r="F59" s="368">
        <v>230</v>
      </c>
      <c r="G59" s="368">
        <v>230</v>
      </c>
      <c r="H59" s="368">
        <v>230</v>
      </c>
      <c r="I59" s="368">
        <v>230</v>
      </c>
      <c r="J59" s="368">
        <v>230</v>
      </c>
      <c r="K59" s="190"/>
      <c r="L59" s="190"/>
      <c r="M59" s="190"/>
      <c r="N59" s="190"/>
      <c r="O59" s="190"/>
      <c r="P59" s="190"/>
      <c r="Q59" s="190"/>
      <c r="R59" s="190"/>
      <c r="S59" s="190"/>
      <c r="T59" s="293"/>
      <c r="U59" s="59"/>
      <c r="V59" s="59"/>
      <c r="W59" s="59"/>
      <c r="X59" s="59"/>
      <c r="Y59" s="59"/>
      <c r="Z59" s="59"/>
      <c r="AB59" s="59"/>
      <c r="AD59" s="59"/>
      <c r="AE59" s="59"/>
      <c r="AF59" s="59"/>
      <c r="AG59" s="59"/>
      <c r="AM59" s="59"/>
      <c r="AO59" s="59"/>
      <c r="AP59" s="59"/>
      <c r="AQ59" s="59"/>
      <c r="AU59" s="59"/>
      <c r="AW59" s="59"/>
      <c r="AX59" s="59"/>
      <c r="AY59" s="59"/>
      <c r="BD59" s="58"/>
      <c r="BG59" s="59"/>
      <c r="BK59" s="59"/>
      <c r="BM59" s="59"/>
      <c r="BN59" s="59"/>
      <c r="BO59" s="59"/>
    </row>
    <row r="60" spans="1:67" ht="15" hidden="1" customHeight="1">
      <c r="A60" s="455"/>
      <c r="B60" s="274" t="s">
        <v>19</v>
      </c>
      <c r="C60" s="275" t="s">
        <v>20</v>
      </c>
      <c r="D60" s="369" t="s">
        <v>45</v>
      </c>
      <c r="E60" s="369" t="s">
        <v>45</v>
      </c>
      <c r="F60" s="369" t="s">
        <v>45</v>
      </c>
      <c r="G60" s="369" t="s">
        <v>45</v>
      </c>
      <c r="H60" s="369" t="s">
        <v>45</v>
      </c>
      <c r="I60" s="369" t="s">
        <v>45</v>
      </c>
      <c r="J60" s="369" t="s">
        <v>45</v>
      </c>
      <c r="K60" s="300"/>
      <c r="L60" s="300"/>
      <c r="M60" s="300"/>
      <c r="N60" s="300"/>
      <c r="O60" s="300"/>
      <c r="P60" s="300"/>
      <c r="Q60" s="300"/>
      <c r="R60" s="300"/>
      <c r="S60" s="300"/>
      <c r="T60" s="293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M60" s="59"/>
      <c r="AO60" s="59"/>
      <c r="AP60" s="59"/>
      <c r="AQ60" s="59"/>
      <c r="AU60" s="59"/>
      <c r="AW60" s="59"/>
      <c r="AX60" s="59"/>
      <c r="AY60" s="59"/>
      <c r="BD60" s="58"/>
      <c r="BG60" s="59"/>
      <c r="BK60" s="59"/>
      <c r="BM60" s="59"/>
      <c r="BN60" s="59"/>
      <c r="BO60" s="59"/>
    </row>
    <row r="61" spans="1:67" ht="15" hidden="1" customHeight="1" thickBot="1">
      <c r="A61" s="456" t="s">
        <v>46</v>
      </c>
      <c r="B61" s="250" t="s">
        <v>21</v>
      </c>
      <c r="C61" s="251"/>
      <c r="D61" s="366">
        <v>2</v>
      </c>
      <c r="E61" s="366">
        <v>2</v>
      </c>
      <c r="F61" s="366">
        <v>2</v>
      </c>
      <c r="G61" s="366">
        <v>2</v>
      </c>
      <c r="H61" s="366">
        <v>2</v>
      </c>
      <c r="I61" s="366">
        <v>2</v>
      </c>
      <c r="J61" s="366">
        <v>2</v>
      </c>
      <c r="K61" s="299"/>
      <c r="L61" s="299"/>
      <c r="M61" s="299"/>
      <c r="N61" s="299"/>
      <c r="O61" s="299"/>
      <c r="P61" s="299"/>
      <c r="Q61" s="299"/>
      <c r="R61" s="299"/>
      <c r="S61" s="299"/>
      <c r="T61" s="293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  <c r="AG61" s="59"/>
      <c r="AM61" s="59"/>
      <c r="AO61" s="59"/>
      <c r="AP61" s="59"/>
      <c r="AQ61" s="59"/>
      <c r="AU61" s="59"/>
      <c r="AW61" s="59"/>
      <c r="AX61" s="59"/>
      <c r="AY61" s="59"/>
      <c r="BD61" s="58"/>
      <c r="BG61" s="59"/>
      <c r="BK61" s="59"/>
      <c r="BM61" s="59"/>
      <c r="BN61" s="59"/>
      <c r="BO61" s="59"/>
    </row>
    <row r="62" spans="1:67" ht="15" hidden="1" customHeight="1">
      <c r="A62" s="457" t="b">
        <v>0</v>
      </c>
      <c r="B62" s="250" t="s">
        <v>22</v>
      </c>
      <c r="C62" s="251"/>
      <c r="D62" s="366">
        <v>4</v>
      </c>
      <c r="E62" s="366">
        <v>4</v>
      </c>
      <c r="F62" s="366">
        <v>4</v>
      </c>
      <c r="G62" s="366">
        <v>4</v>
      </c>
      <c r="H62" s="366">
        <v>4</v>
      </c>
      <c r="I62" s="366">
        <v>4</v>
      </c>
      <c r="J62" s="366">
        <v>4</v>
      </c>
      <c r="K62" s="299"/>
      <c r="L62" s="299"/>
      <c r="M62" s="299"/>
      <c r="N62" s="299"/>
      <c r="O62" s="299"/>
      <c r="P62" s="299"/>
      <c r="Q62" s="299"/>
      <c r="R62" s="299"/>
      <c r="S62" s="299"/>
      <c r="T62" s="293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  <c r="AG62" s="59"/>
      <c r="AM62" s="59"/>
      <c r="AO62" s="59"/>
      <c r="AP62" s="59"/>
      <c r="AQ62" s="59"/>
      <c r="AU62" s="59"/>
      <c r="AW62" s="59"/>
      <c r="AX62" s="59"/>
      <c r="AY62" s="59"/>
      <c r="BD62" s="58"/>
      <c r="BG62" s="59"/>
      <c r="BK62" s="59"/>
      <c r="BM62" s="59"/>
      <c r="BN62" s="59"/>
      <c r="BO62" s="59"/>
    </row>
    <row r="63" spans="1:67" ht="15" hidden="1" customHeight="1">
      <c r="A63" s="458" t="s">
        <v>47</v>
      </c>
      <c r="B63" s="274" t="s">
        <v>48</v>
      </c>
      <c r="C63" s="275" t="s">
        <v>49</v>
      </c>
      <c r="D63" s="370">
        <v>13.8</v>
      </c>
      <c r="E63" s="370">
        <v>13.8</v>
      </c>
      <c r="F63" s="370">
        <v>13.8</v>
      </c>
      <c r="G63" s="370">
        <v>13.8</v>
      </c>
      <c r="H63" s="370">
        <v>13.8</v>
      </c>
      <c r="I63" s="370">
        <v>13.8</v>
      </c>
      <c r="J63" s="370">
        <v>13.8</v>
      </c>
      <c r="K63" s="190"/>
      <c r="L63" s="190"/>
      <c r="M63" s="190"/>
      <c r="N63" s="190"/>
      <c r="O63" s="190"/>
      <c r="P63" s="190"/>
      <c r="Q63" s="190"/>
      <c r="R63" s="190"/>
      <c r="S63" s="190"/>
      <c r="T63" s="293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  <c r="AG63" s="59"/>
      <c r="AM63" s="59"/>
      <c r="AO63" s="59"/>
      <c r="AP63" s="59"/>
      <c r="AQ63" s="59"/>
      <c r="AU63" s="59"/>
      <c r="AW63" s="59"/>
      <c r="AX63" s="59"/>
      <c r="AY63" s="59"/>
      <c r="BD63" s="58"/>
      <c r="BG63" s="59"/>
      <c r="BK63" s="59"/>
      <c r="BM63" s="59"/>
      <c r="BN63" s="59"/>
      <c r="BO63" s="59"/>
    </row>
    <row r="64" spans="1:67" ht="15" hidden="1" customHeight="1">
      <c r="A64" s="459" t="s">
        <v>38</v>
      </c>
      <c r="B64" s="250" t="s">
        <v>19</v>
      </c>
      <c r="C64" s="251" t="s">
        <v>20</v>
      </c>
      <c r="D64" s="371">
        <v>5.0999999999999996</v>
      </c>
      <c r="E64" s="371">
        <v>5.0999999999999996</v>
      </c>
      <c r="F64" s="371">
        <v>5.0999999999999996</v>
      </c>
      <c r="G64" s="371">
        <v>5.0999999999999996</v>
      </c>
      <c r="H64" s="371">
        <v>5.0999999999999996</v>
      </c>
      <c r="I64" s="371">
        <v>5.0999999999999996</v>
      </c>
      <c r="J64" s="371">
        <v>5.0999999999999996</v>
      </c>
      <c r="K64" s="353"/>
      <c r="L64" s="353"/>
      <c r="M64" s="353"/>
      <c r="N64" s="353"/>
      <c r="O64" s="353"/>
      <c r="P64" s="353"/>
      <c r="Q64" s="353"/>
      <c r="R64" s="353"/>
      <c r="S64" s="353"/>
      <c r="T64" s="293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  <c r="AG64" s="59"/>
      <c r="AM64" s="59"/>
      <c r="AO64" s="59"/>
      <c r="AP64" s="59"/>
      <c r="AQ64" s="59"/>
      <c r="AU64" s="59"/>
      <c r="AW64" s="59"/>
      <c r="AX64" s="59"/>
      <c r="AY64" s="59"/>
      <c r="BD64" s="58"/>
      <c r="BG64" s="59"/>
      <c r="BK64" s="59"/>
      <c r="BM64" s="59"/>
      <c r="BN64" s="59"/>
      <c r="BO64" s="59"/>
    </row>
    <row r="65" spans="1:67" ht="15" hidden="1" customHeight="1" thickBot="1">
      <c r="A65" s="460" t="s">
        <v>50</v>
      </c>
      <c r="B65" s="277"/>
      <c r="C65" s="278"/>
      <c r="D65" s="372">
        <v>0.5</v>
      </c>
      <c r="E65" s="372">
        <v>0.5</v>
      </c>
      <c r="F65" s="372">
        <v>0.5</v>
      </c>
      <c r="G65" s="372">
        <v>0.5</v>
      </c>
      <c r="H65" s="372">
        <v>0.5</v>
      </c>
      <c r="I65" s="372">
        <v>0.5</v>
      </c>
      <c r="J65" s="372">
        <v>0.5</v>
      </c>
      <c r="K65" s="227"/>
      <c r="L65" s="227"/>
      <c r="M65" s="227"/>
      <c r="N65" s="227"/>
      <c r="O65" s="227"/>
      <c r="P65" s="227"/>
      <c r="Q65" s="227"/>
      <c r="R65" s="227"/>
      <c r="S65" s="227"/>
      <c r="T65" s="294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M65" s="59"/>
      <c r="AO65" s="59"/>
      <c r="AP65" s="59"/>
      <c r="AQ65" s="59"/>
      <c r="AU65" s="59"/>
      <c r="AW65" s="59"/>
      <c r="AX65" s="59"/>
      <c r="AY65" s="59"/>
      <c r="BD65" s="58"/>
      <c r="BG65" s="59"/>
      <c r="BK65" s="59"/>
      <c r="BM65" s="59"/>
      <c r="BN65" s="59"/>
      <c r="BO65" s="59"/>
    </row>
    <row r="66" spans="1:67" ht="15" customHeight="1">
      <c r="A66" s="416"/>
      <c r="B66" s="259" t="s">
        <v>51</v>
      </c>
      <c r="C66" s="279" t="s">
        <v>52</v>
      </c>
      <c r="D66" s="373">
        <v>10</v>
      </c>
      <c r="E66" s="373">
        <v>10</v>
      </c>
      <c r="F66" s="373">
        <v>10</v>
      </c>
      <c r="G66" s="373">
        <v>10</v>
      </c>
      <c r="H66" s="373">
        <v>41</v>
      </c>
      <c r="I66" s="373">
        <v>165</v>
      </c>
      <c r="J66" s="373">
        <v>929</v>
      </c>
      <c r="K66" s="205"/>
      <c r="L66" s="205"/>
      <c r="M66" s="205"/>
      <c r="N66" s="205"/>
      <c r="O66" s="205"/>
      <c r="P66" s="205"/>
      <c r="Q66" s="205"/>
      <c r="R66" s="205"/>
      <c r="S66" s="205"/>
      <c r="T66" s="280">
        <v>1175</v>
      </c>
      <c r="U66" s="65"/>
      <c r="V66" s="65"/>
      <c r="W66" s="88"/>
      <c r="X66" s="65"/>
      <c r="Y66" s="88"/>
      <c r="Z66" s="65"/>
      <c r="AA66" s="88"/>
      <c r="AB66" s="65"/>
      <c r="AC66" s="88"/>
      <c r="AD66" s="59"/>
      <c r="AE66" s="59"/>
      <c r="AF66" s="59"/>
      <c r="AG66" s="59"/>
      <c r="AM66" s="65"/>
      <c r="AO66" s="72"/>
      <c r="AP66" s="72"/>
      <c r="AQ66" s="72"/>
      <c r="AU66" s="65"/>
      <c r="AW66" s="72"/>
      <c r="AX66" s="72"/>
      <c r="AY66" s="72"/>
      <c r="BC66" s="65"/>
      <c r="BD66" s="58"/>
      <c r="BE66" s="72"/>
      <c r="BF66" s="72"/>
      <c r="BG66" s="72"/>
      <c r="BK66" s="65"/>
      <c r="BM66" s="72"/>
      <c r="BN66" s="72"/>
      <c r="BO66" s="72"/>
    </row>
    <row r="67" spans="1:67" ht="15" customHeight="1">
      <c r="A67" s="444" t="s">
        <v>53</v>
      </c>
      <c r="B67" s="261" t="s">
        <v>54</v>
      </c>
      <c r="C67" s="275" t="s">
        <v>55</v>
      </c>
      <c r="D67" s="374">
        <v>0.41666666666666669</v>
      </c>
      <c r="E67" s="374">
        <v>0.41666666666666669</v>
      </c>
      <c r="F67" s="374">
        <v>0.41666666666666669</v>
      </c>
      <c r="G67" s="374">
        <v>0.41666666666666669</v>
      </c>
      <c r="H67" s="374">
        <v>1.7083333333333333</v>
      </c>
      <c r="I67" s="374">
        <v>6.875</v>
      </c>
      <c r="J67" s="374">
        <v>38.708333333333336</v>
      </c>
      <c r="K67" s="301"/>
      <c r="L67" s="301"/>
      <c r="M67" s="301"/>
      <c r="N67" s="301"/>
      <c r="O67" s="301"/>
      <c r="P67" s="301"/>
      <c r="Q67" s="301"/>
      <c r="R67" s="301"/>
      <c r="S67" s="301"/>
      <c r="T67" s="281">
        <v>48.958333333333336</v>
      </c>
      <c r="U67" s="65"/>
      <c r="V67" s="65"/>
      <c r="W67" s="88"/>
      <c r="X67" s="65"/>
      <c r="Y67" s="88"/>
      <c r="Z67" s="65"/>
      <c r="AA67" s="88"/>
      <c r="AB67" s="65"/>
      <c r="AC67" s="88"/>
      <c r="AD67" s="59"/>
      <c r="AE67" s="59"/>
      <c r="AF67" s="59"/>
      <c r="AG67" s="59"/>
      <c r="AM67" s="65"/>
      <c r="AO67" s="72"/>
      <c r="AP67" s="72"/>
      <c r="AQ67" s="72"/>
      <c r="AU67" s="65"/>
      <c r="AW67" s="72"/>
      <c r="AX67" s="72"/>
      <c r="AY67" s="72"/>
      <c r="BC67" s="65"/>
      <c r="BD67" s="58"/>
      <c r="BE67" s="72"/>
      <c r="BF67" s="72"/>
      <c r="BG67" s="72"/>
      <c r="BK67" s="65"/>
      <c r="BM67" s="72"/>
      <c r="BN67" s="72"/>
      <c r="BO67" s="72"/>
    </row>
    <row r="68" spans="1:67" ht="15" customHeight="1">
      <c r="A68" s="417"/>
      <c r="B68" s="262" t="s">
        <v>56</v>
      </c>
      <c r="C68" s="275" t="s">
        <v>52</v>
      </c>
      <c r="D68" s="368"/>
      <c r="E68" s="368"/>
      <c r="F68" s="368"/>
      <c r="G68" s="368"/>
      <c r="H68" s="368"/>
      <c r="I68" s="368"/>
      <c r="J68" s="368"/>
      <c r="K68" s="192"/>
      <c r="L68" s="192"/>
      <c r="M68" s="192"/>
      <c r="N68" s="192"/>
      <c r="O68" s="192"/>
      <c r="P68" s="192"/>
      <c r="Q68" s="192"/>
      <c r="R68" s="192"/>
      <c r="S68" s="192"/>
      <c r="T68" s="282">
        <v>0</v>
      </c>
      <c r="U68" s="65"/>
      <c r="V68" s="65"/>
      <c r="W68" s="88"/>
      <c r="X68" s="65"/>
      <c r="Y68" s="88"/>
      <c r="Z68" s="65"/>
      <c r="AA68" s="88"/>
      <c r="AB68" s="65"/>
      <c r="AC68" s="88"/>
      <c r="AD68" s="59"/>
      <c r="AE68" s="59"/>
      <c r="AF68" s="59"/>
      <c r="AG68" s="59"/>
      <c r="AM68" s="65"/>
      <c r="AO68" s="72"/>
      <c r="AP68" s="72"/>
      <c r="AQ68" s="72"/>
      <c r="AU68" s="65"/>
      <c r="AW68" s="72"/>
      <c r="AX68" s="72"/>
      <c r="AY68" s="72"/>
      <c r="BC68" s="65"/>
      <c r="BD68" s="58"/>
      <c r="BE68" s="72"/>
      <c r="BF68" s="72"/>
      <c r="BG68" s="72"/>
      <c r="BK68" s="65"/>
      <c r="BM68" s="72"/>
      <c r="BN68" s="72"/>
      <c r="BO68" s="72"/>
    </row>
    <row r="69" spans="1:67" ht="15" customHeight="1" thickBot="1">
      <c r="A69" s="418"/>
      <c r="B69" s="263" t="s">
        <v>57</v>
      </c>
      <c r="C69" s="283" t="s">
        <v>55</v>
      </c>
      <c r="D69" s="375">
        <v>0</v>
      </c>
      <c r="E69" s="375">
        <v>0</v>
      </c>
      <c r="F69" s="375">
        <v>0</v>
      </c>
      <c r="G69" s="375">
        <v>0</v>
      </c>
      <c r="H69" s="375">
        <v>0</v>
      </c>
      <c r="I69" s="375">
        <v>0</v>
      </c>
      <c r="J69" s="375">
        <v>0</v>
      </c>
      <c r="K69" s="302"/>
      <c r="L69" s="302"/>
      <c r="M69" s="302"/>
      <c r="N69" s="302"/>
      <c r="O69" s="302"/>
      <c r="P69" s="302"/>
      <c r="Q69" s="302"/>
      <c r="R69" s="302"/>
      <c r="S69" s="302"/>
      <c r="T69" s="284">
        <v>0</v>
      </c>
      <c r="U69" s="65"/>
      <c r="V69" s="65"/>
      <c r="W69" s="88"/>
      <c r="X69" s="65"/>
      <c r="Y69" s="88"/>
      <c r="Z69" s="65"/>
      <c r="AA69" s="88"/>
      <c r="AB69" s="65"/>
      <c r="AC69" s="88"/>
      <c r="AD69" s="59"/>
      <c r="AE69" s="59"/>
      <c r="AF69" s="59"/>
      <c r="AG69" s="59"/>
      <c r="AM69" s="65"/>
      <c r="AO69" s="72"/>
      <c r="AP69" s="72"/>
      <c r="AQ69" s="72"/>
      <c r="AU69" s="65"/>
      <c r="AW69" s="72"/>
      <c r="AX69" s="72"/>
      <c r="AY69" s="72"/>
      <c r="BC69" s="65"/>
      <c r="BD69" s="58"/>
      <c r="BE69" s="72"/>
      <c r="BF69" s="72"/>
      <c r="BG69" s="72"/>
      <c r="BK69" s="65"/>
      <c r="BM69" s="72"/>
      <c r="BN69" s="72"/>
      <c r="BO69" s="72"/>
    </row>
    <row r="70" spans="1:67" ht="15" customHeight="1">
      <c r="A70" s="389" t="s">
        <v>58</v>
      </c>
      <c r="B70" s="285" t="s">
        <v>59</v>
      </c>
      <c r="C70" s="279" t="s">
        <v>60</v>
      </c>
      <c r="D70" s="376">
        <v>0.67906667528512177</v>
      </c>
      <c r="E70" s="376">
        <v>2.9126816280700654</v>
      </c>
      <c r="F70" s="376">
        <v>0.50492745978261333</v>
      </c>
      <c r="G70" s="376">
        <v>8.7970310531415144E-2</v>
      </c>
      <c r="H70" s="376">
        <v>0.67906667528512177</v>
      </c>
      <c r="I70" s="376">
        <v>0.77300276468861251</v>
      </c>
      <c r="J70" s="376">
        <v>0.84666754853656878</v>
      </c>
      <c r="K70" s="303"/>
      <c r="L70" s="303"/>
      <c r="M70" s="303"/>
      <c r="N70" s="303"/>
      <c r="O70" s="303"/>
      <c r="P70" s="303"/>
      <c r="Q70" s="303"/>
      <c r="R70" s="303"/>
      <c r="S70" s="303"/>
      <c r="T70" s="295"/>
      <c r="U70" s="59"/>
      <c r="V70" s="59"/>
      <c r="W70" s="59"/>
      <c r="X70" s="59"/>
      <c r="Y70" s="59"/>
      <c r="Z70" s="59"/>
      <c r="AA70" s="59"/>
      <c r="AB70" s="59"/>
      <c r="AC70" s="59"/>
      <c r="AM70" s="59"/>
      <c r="AO70" s="59"/>
      <c r="AP70" s="59"/>
      <c r="AQ70" s="59"/>
      <c r="AU70" s="59"/>
      <c r="AW70" s="59"/>
      <c r="AX70" s="59"/>
      <c r="AY70" s="59"/>
      <c r="BD70" s="58"/>
      <c r="BG70" s="59"/>
      <c r="BK70" s="59"/>
      <c r="BM70" s="59"/>
      <c r="BN70" s="59"/>
      <c r="BO70" s="59"/>
    </row>
    <row r="71" spans="1:67" ht="15" customHeight="1">
      <c r="A71" s="390" t="s">
        <v>61</v>
      </c>
      <c r="B71" s="286" t="s">
        <v>62</v>
      </c>
      <c r="C71" s="275" t="s">
        <v>60</v>
      </c>
      <c r="D71" s="377"/>
      <c r="E71" s="377"/>
      <c r="F71" s="377"/>
      <c r="G71" s="377"/>
      <c r="H71" s="377"/>
      <c r="I71" s="377"/>
      <c r="J71" s="377"/>
      <c r="K71" s="191"/>
      <c r="L71" s="191"/>
      <c r="M71" s="191"/>
      <c r="N71" s="191"/>
      <c r="O71" s="191"/>
      <c r="P71" s="191"/>
      <c r="Q71" s="191"/>
      <c r="R71" s="191"/>
      <c r="S71" s="191"/>
      <c r="T71" s="296"/>
      <c r="U71" s="79"/>
      <c r="V71" s="79"/>
      <c r="W71" s="59"/>
      <c r="X71" s="79"/>
      <c r="Y71" s="59"/>
      <c r="Z71" s="79"/>
      <c r="AA71" s="59"/>
      <c r="AB71" s="79"/>
      <c r="AC71" s="59"/>
      <c r="AD71" s="59"/>
      <c r="AE71" s="59"/>
      <c r="AF71" s="59"/>
      <c r="AG71" s="59"/>
      <c r="AM71" s="79"/>
      <c r="AO71" s="59"/>
      <c r="AP71" s="59"/>
      <c r="AQ71" s="59"/>
      <c r="AU71" s="79"/>
      <c r="AW71" s="59"/>
      <c r="AX71" s="59"/>
      <c r="AY71" s="59"/>
      <c r="BC71" s="79"/>
      <c r="BD71" s="58"/>
      <c r="BG71" s="59"/>
      <c r="BK71" s="79"/>
      <c r="BM71" s="59"/>
      <c r="BN71" s="59"/>
      <c r="BO71" s="59"/>
    </row>
    <row r="72" spans="1:67" ht="15" customHeight="1">
      <c r="A72" s="391" t="s">
        <v>63</v>
      </c>
      <c r="B72" s="287" t="s">
        <v>64</v>
      </c>
      <c r="C72" s="275" t="s">
        <v>60</v>
      </c>
      <c r="D72" s="378">
        <v>0.67906667528512177</v>
      </c>
      <c r="E72" s="378">
        <v>2.9126816280700654</v>
      </c>
      <c r="F72" s="378">
        <v>0.50492745978261333</v>
      </c>
      <c r="G72" s="378">
        <v>8.7970310531415144E-2</v>
      </c>
      <c r="H72" s="378">
        <v>0.67906667528512177</v>
      </c>
      <c r="I72" s="378">
        <v>0.77300276468861251</v>
      </c>
      <c r="J72" s="378">
        <v>0.84666754853656878</v>
      </c>
      <c r="K72" s="304"/>
      <c r="L72" s="304"/>
      <c r="M72" s="304"/>
      <c r="N72" s="304"/>
      <c r="O72" s="304"/>
      <c r="P72" s="304"/>
      <c r="Q72" s="304"/>
      <c r="R72" s="304"/>
      <c r="S72" s="304"/>
      <c r="T72" s="297"/>
      <c r="U72" s="70"/>
      <c r="V72" s="70"/>
      <c r="W72" s="70"/>
      <c r="X72" s="70"/>
      <c r="Y72" s="70"/>
      <c r="Z72" s="70"/>
      <c r="AA72" s="70"/>
      <c r="AB72" s="70"/>
      <c r="AC72" s="70"/>
      <c r="AD72" s="59"/>
      <c r="AE72" s="59"/>
      <c r="AF72" s="59"/>
      <c r="AG72" s="59"/>
      <c r="AM72" s="70"/>
      <c r="AO72" s="70"/>
      <c r="AP72" s="70"/>
      <c r="AQ72" s="59"/>
      <c r="AU72" s="70"/>
      <c r="AW72" s="70"/>
      <c r="AX72" s="70"/>
      <c r="AY72" s="59"/>
      <c r="BC72" s="70"/>
      <c r="BD72" s="58"/>
      <c r="BE72" s="70"/>
      <c r="BF72" s="70"/>
      <c r="BG72" s="59"/>
      <c r="BK72" s="70"/>
      <c r="BM72" s="70"/>
      <c r="BN72" s="70"/>
      <c r="BO72" s="59"/>
    </row>
    <row r="73" spans="1:67" ht="15" customHeight="1">
      <c r="A73" s="288" t="s">
        <v>65</v>
      </c>
      <c r="B73" s="286"/>
      <c r="C73" s="275" t="s">
        <v>66</v>
      </c>
      <c r="D73" s="366">
        <v>6.7906667528512177</v>
      </c>
      <c r="E73" s="366">
        <v>29.126816280700652</v>
      </c>
      <c r="F73" s="366">
        <v>5.0492745978261331</v>
      </c>
      <c r="G73" s="366">
        <v>0.87970310531415141</v>
      </c>
      <c r="H73" s="366">
        <v>27.841733686689992</v>
      </c>
      <c r="I73" s="366">
        <v>127.54545617362106</v>
      </c>
      <c r="J73" s="366">
        <v>786.55415259047243</v>
      </c>
      <c r="K73" s="463"/>
      <c r="L73" s="463"/>
      <c r="M73" s="463"/>
      <c r="N73" s="463"/>
      <c r="O73" s="463"/>
      <c r="P73" s="463"/>
      <c r="Q73" s="463"/>
      <c r="R73" s="463"/>
      <c r="S73" s="463"/>
      <c r="T73" s="282">
        <v>983.78780318747567</v>
      </c>
      <c r="U73" s="70"/>
      <c r="V73" s="70"/>
      <c r="W73" s="70"/>
      <c r="X73" s="70"/>
      <c r="Y73" s="70"/>
      <c r="Z73" s="70"/>
      <c r="AA73" s="70"/>
      <c r="AB73" s="70"/>
      <c r="AC73" s="70"/>
      <c r="AD73" s="59"/>
      <c r="AE73" s="59"/>
      <c r="AF73" s="59"/>
      <c r="AG73" s="59"/>
      <c r="AM73" s="70"/>
      <c r="AO73" s="70"/>
      <c r="AP73" s="70"/>
      <c r="AQ73" s="59"/>
      <c r="AU73" s="70"/>
      <c r="AW73" s="70"/>
      <c r="AX73" s="70"/>
      <c r="AY73" s="59"/>
      <c r="BC73" s="70"/>
      <c r="BD73" s="58"/>
      <c r="BE73" s="70"/>
      <c r="BF73" s="70"/>
      <c r="BG73" s="59"/>
      <c r="BK73" s="70"/>
      <c r="BM73" s="70"/>
      <c r="BN73" s="70"/>
      <c r="BO73" s="59"/>
    </row>
    <row r="74" spans="1:67" ht="15" customHeight="1" thickBot="1">
      <c r="A74" s="269" t="s">
        <v>67</v>
      </c>
      <c r="B74" s="289"/>
      <c r="C74" s="283" t="s">
        <v>68</v>
      </c>
      <c r="D74" s="375">
        <v>6.7906667528512168E-2</v>
      </c>
      <c r="E74" s="375">
        <v>0.29126816280700651</v>
      </c>
      <c r="F74" s="375">
        <v>5.0492745978261332E-2</v>
      </c>
      <c r="G74" s="375">
        <v>8.7970310531415141E-3</v>
      </c>
      <c r="H74" s="375">
        <v>0.2784173368668999</v>
      </c>
      <c r="I74" s="375">
        <v>1.2754545617362107</v>
      </c>
      <c r="J74" s="375">
        <v>7.8655415259047246</v>
      </c>
      <c r="K74" s="302"/>
      <c r="L74" s="302"/>
      <c r="M74" s="302"/>
      <c r="N74" s="302"/>
      <c r="O74" s="302"/>
      <c r="P74" s="302"/>
      <c r="Q74" s="302"/>
      <c r="R74" s="302"/>
      <c r="S74" s="302"/>
      <c r="T74" s="290">
        <v>9.837878031874757</v>
      </c>
      <c r="U74" s="71"/>
      <c r="V74" s="71"/>
      <c r="W74" s="71"/>
      <c r="X74" s="71"/>
      <c r="Y74" s="71"/>
      <c r="Z74" s="71"/>
      <c r="AA74" s="71"/>
      <c r="AB74" s="71"/>
      <c r="AC74" s="71"/>
      <c r="AD74" s="59"/>
      <c r="AE74" s="59"/>
      <c r="AF74" s="59"/>
      <c r="AG74" s="59"/>
      <c r="AM74" s="71"/>
      <c r="AO74" s="71"/>
      <c r="AP74" s="71"/>
      <c r="AQ74" s="59"/>
      <c r="AU74" s="71"/>
      <c r="AW74" s="71"/>
      <c r="AX74" s="71"/>
      <c r="AY74" s="59"/>
      <c r="BC74" s="71"/>
      <c r="BD74" s="58"/>
      <c r="BE74" s="71"/>
      <c r="BF74" s="71"/>
      <c r="BG74" s="59"/>
      <c r="BK74" s="71"/>
      <c r="BM74" s="71"/>
      <c r="BN74" s="71"/>
      <c r="BO74" s="59"/>
    </row>
    <row r="75" spans="1:67" ht="15" customHeight="1">
      <c r="A75" s="419" t="s">
        <v>69</v>
      </c>
      <c r="B75" s="291"/>
      <c r="C75" s="291"/>
      <c r="D75" s="291"/>
      <c r="E75" s="291"/>
      <c r="F75" s="291"/>
      <c r="G75" s="291"/>
      <c r="H75" s="291"/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2">
        <v>73.34452047593436</v>
      </c>
      <c r="U75" s="59"/>
      <c r="V75" s="59"/>
      <c r="W75" s="59"/>
      <c r="X75" s="59"/>
      <c r="Y75" s="59"/>
      <c r="Z75" s="59"/>
      <c r="AA75" s="59"/>
      <c r="AB75" s="59"/>
      <c r="AC75" s="59"/>
      <c r="AD75" s="59"/>
      <c r="AM75" s="59"/>
      <c r="AO75" s="59"/>
      <c r="AP75" s="59"/>
      <c r="AQ75" s="59"/>
      <c r="AU75" s="59"/>
      <c r="AW75" s="59"/>
      <c r="AX75" s="59"/>
      <c r="AY75" s="59"/>
      <c r="BD75" s="58"/>
      <c r="BG75" s="59"/>
      <c r="BK75" s="59"/>
      <c r="BM75" s="59"/>
      <c r="BN75" s="59"/>
      <c r="BO75" s="59"/>
    </row>
    <row r="76" spans="1:67" ht="15" customHeight="1">
      <c r="A76" s="420" t="s">
        <v>70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  <c r="S76" s="383"/>
      <c r="T76" s="388">
        <v>73.34452047593436</v>
      </c>
      <c r="U76" s="59"/>
      <c r="V76" s="59"/>
      <c r="W76" s="59"/>
      <c r="X76" s="59"/>
      <c r="Y76" s="59"/>
      <c r="Z76" s="59"/>
      <c r="AA76" s="59"/>
      <c r="AB76" s="59"/>
      <c r="AC76" s="59"/>
      <c r="AD76" s="59"/>
      <c r="AM76" s="59"/>
      <c r="AO76" s="59"/>
      <c r="AP76" s="59"/>
      <c r="AQ76" s="59"/>
      <c r="AU76" s="59"/>
      <c r="AW76" s="59"/>
      <c r="AX76" s="59"/>
      <c r="AY76" s="59"/>
      <c r="BD76" s="58"/>
      <c r="BG76" s="59"/>
      <c r="BK76" s="59"/>
      <c r="BM76" s="59"/>
      <c r="BN76" s="59"/>
      <c r="BO76" s="59"/>
    </row>
    <row r="77" spans="1:67" ht="15" customHeight="1" thickBot="1">
      <c r="A77" s="448" t="s">
        <v>71</v>
      </c>
      <c r="B77" s="386"/>
      <c r="C77" s="386"/>
      <c r="D77" s="386"/>
      <c r="E77" s="386"/>
      <c r="F77" s="386"/>
      <c r="G77" s="386"/>
      <c r="H77" s="386"/>
      <c r="I77" s="386"/>
      <c r="J77" s="386"/>
      <c r="K77" s="386"/>
      <c r="L77" s="386"/>
      <c r="M77" s="386"/>
      <c r="N77" s="386"/>
      <c r="O77" s="386"/>
      <c r="P77" s="386"/>
      <c r="Q77" s="386"/>
      <c r="R77" s="386"/>
      <c r="S77" s="386"/>
      <c r="T77" s="387"/>
      <c r="U77" s="392"/>
      <c r="V77" s="392"/>
      <c r="W77" s="392"/>
      <c r="X77" s="59"/>
      <c r="Y77" s="59"/>
      <c r="Z77" s="59"/>
      <c r="AA77" s="59"/>
      <c r="AB77" s="59"/>
      <c r="AC77" s="59"/>
      <c r="AD77" s="59"/>
      <c r="AE77" s="59"/>
      <c r="AM77" s="59"/>
      <c r="AO77" s="59"/>
      <c r="AP77" s="59"/>
      <c r="AQ77" s="59"/>
      <c r="AU77" s="59"/>
      <c r="AW77" s="59"/>
      <c r="AX77" s="59"/>
      <c r="AY77" s="59"/>
      <c r="BD77" s="58"/>
      <c r="BG77" s="59"/>
      <c r="BK77" s="59"/>
      <c r="BM77" s="59"/>
      <c r="BN77" s="59"/>
      <c r="BO77" s="59"/>
    </row>
    <row r="78" spans="1:67" s="319" customFormat="1" ht="15" customHeight="1">
      <c r="B78" s="320"/>
      <c r="C78" s="325" t="s">
        <v>72</v>
      </c>
      <c r="D78" s="346">
        <v>44123</v>
      </c>
      <c r="E78" s="139"/>
      <c r="F78" s="321"/>
      <c r="G78" s="347"/>
      <c r="H78" s="348"/>
      <c r="I78" s="345"/>
      <c r="J78" s="325" t="s">
        <v>73</v>
      </c>
      <c r="K78" s="351" t="s">
        <v>74</v>
      </c>
      <c r="P78" s="147"/>
    </row>
    <row r="79" spans="1:67" ht="15" customHeight="1">
      <c r="O79" s="59"/>
      <c r="P79" s="59"/>
      <c r="Q79" s="59"/>
      <c r="AT79" s="59"/>
      <c r="AU79" s="59"/>
      <c r="AV79" s="59"/>
      <c r="AW79" s="59"/>
      <c r="AX79" s="59"/>
    </row>
    <row r="80" spans="1:67" ht="15" customHeight="1">
      <c r="A80" s="62"/>
      <c r="B80" s="354"/>
      <c r="C80" s="60"/>
      <c r="D80" s="60"/>
      <c r="E80" s="60"/>
      <c r="M80" s="59"/>
      <c r="N80" s="59"/>
      <c r="O80" s="59"/>
      <c r="T80" s="59"/>
      <c r="U80" s="59"/>
      <c r="V80" s="60"/>
      <c r="W80" s="59"/>
      <c r="X80" s="59"/>
      <c r="Y80" s="59"/>
      <c r="AC80" s="59"/>
      <c r="AD80" s="60"/>
      <c r="AE80" s="59"/>
      <c r="AF80" s="59"/>
      <c r="AG80" s="59"/>
      <c r="AH80" s="59"/>
      <c r="AI80" s="59"/>
      <c r="AJ80" s="59"/>
      <c r="AK80" s="59"/>
      <c r="AL80" s="60"/>
      <c r="AM80" s="59"/>
      <c r="AN80" s="59"/>
      <c r="AO80" s="59"/>
      <c r="AR80" s="59"/>
      <c r="AS80" s="59"/>
      <c r="AT80" s="60"/>
      <c r="AU80" s="59"/>
      <c r="AV80" s="59"/>
      <c r="BA80" s="59"/>
      <c r="BB80" s="59"/>
      <c r="BE80" s="58"/>
      <c r="BF80" s="58"/>
    </row>
    <row r="81" spans="1:58" ht="15" customHeight="1">
      <c r="A81" s="60"/>
      <c r="B81" s="355"/>
      <c r="C81" s="356"/>
      <c r="D81" s="356"/>
      <c r="E81" s="60"/>
      <c r="G81" s="59"/>
      <c r="H81" s="138"/>
      <c r="M81" s="59"/>
      <c r="N81" s="59"/>
      <c r="O81" s="59"/>
      <c r="T81" s="59"/>
      <c r="U81" s="59"/>
      <c r="V81" s="60"/>
      <c r="W81" s="59"/>
      <c r="X81" s="59"/>
      <c r="Y81" s="59"/>
      <c r="AC81" s="59"/>
      <c r="AD81" s="60"/>
      <c r="AE81" s="59"/>
      <c r="AF81" s="59"/>
      <c r="AG81" s="59"/>
      <c r="AH81" s="59"/>
      <c r="AI81" s="59"/>
      <c r="AJ81" s="59"/>
      <c r="AK81" s="59"/>
      <c r="AL81" s="60"/>
      <c r="AM81" s="59"/>
      <c r="AN81" s="59"/>
      <c r="AO81" s="59"/>
      <c r="AR81" s="59"/>
      <c r="AS81" s="59"/>
      <c r="AT81" s="60"/>
      <c r="AU81" s="59"/>
      <c r="AV81" s="59"/>
      <c r="AW81" s="59"/>
      <c r="AY81" s="59"/>
      <c r="BA81" s="59"/>
      <c r="BB81" s="59"/>
      <c r="BE81" s="58"/>
      <c r="BF81" s="58"/>
    </row>
    <row r="82" spans="1:58" ht="15" customHeight="1">
      <c r="E82" s="59"/>
      <c r="F82" s="59"/>
      <c r="G82" s="59"/>
      <c r="H82" s="59"/>
      <c r="I82" s="59"/>
      <c r="J82" s="59"/>
      <c r="O82" s="59"/>
      <c r="P82" s="59"/>
      <c r="Q82" s="59"/>
      <c r="V82" s="59"/>
      <c r="W82" s="59"/>
      <c r="X82" s="59"/>
      <c r="Y82" s="59"/>
      <c r="Z82" s="59"/>
      <c r="AA82" s="59"/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T82" s="59"/>
      <c r="AU82" s="59"/>
      <c r="AV82" s="59"/>
      <c r="AW82" s="59"/>
      <c r="AX82" s="59"/>
      <c r="AY82" s="59"/>
      <c r="BA82" s="59"/>
    </row>
    <row r="83" spans="1:58" ht="0.75" customHeight="1">
      <c r="A83" s="59"/>
      <c r="B83" s="148"/>
      <c r="C83" s="148"/>
      <c r="E83" s="59"/>
      <c r="F83" s="59"/>
      <c r="G83" s="59"/>
      <c r="H83" s="59"/>
      <c r="I83" s="59"/>
      <c r="J83" s="59"/>
      <c r="O83" s="59"/>
      <c r="P83" s="59"/>
      <c r="Q83" s="59"/>
      <c r="X83" s="59"/>
      <c r="Z83" s="59"/>
      <c r="AA83" s="59"/>
      <c r="AF83" s="59"/>
      <c r="AH83" s="59"/>
      <c r="AI83" s="59"/>
      <c r="AN83" s="59"/>
      <c r="AP83" s="59"/>
      <c r="AQ83" s="59"/>
      <c r="AV83" s="59"/>
      <c r="AX83" s="59"/>
      <c r="AY83" s="59"/>
      <c r="BA83" s="59"/>
    </row>
    <row r="84" spans="1:58" ht="240" customHeight="1">
      <c r="A84" s="148"/>
      <c r="B84" s="60"/>
      <c r="C84" s="60"/>
      <c r="D84" s="59"/>
      <c r="E84" s="59"/>
      <c r="F84" s="59"/>
      <c r="G84" s="59"/>
      <c r="H84" s="59"/>
      <c r="I84" s="59"/>
      <c r="J84" s="59"/>
      <c r="O84" s="59"/>
      <c r="P84" s="59"/>
      <c r="Q84" s="59"/>
      <c r="X84" s="59"/>
      <c r="Z84" s="59"/>
      <c r="AA84" s="59"/>
      <c r="AF84" s="59"/>
      <c r="AH84" s="59"/>
      <c r="AI84" s="59"/>
      <c r="AN84" s="59"/>
      <c r="AP84" s="59"/>
      <c r="AQ84" s="59"/>
      <c r="AV84" s="59"/>
      <c r="AX84" s="59"/>
      <c r="AY84" s="59"/>
      <c r="BA84" s="59"/>
    </row>
    <row r="85" spans="1:58" ht="66.75" customHeight="1">
      <c r="A85" s="59"/>
      <c r="B85" s="59"/>
      <c r="C85" s="59"/>
      <c r="E85" s="59"/>
      <c r="F85" s="59"/>
      <c r="G85" s="59"/>
      <c r="H85" s="59"/>
      <c r="I85" s="59"/>
      <c r="J85" s="59"/>
      <c r="O85" s="59"/>
      <c r="P85" s="59"/>
      <c r="Q85" s="59"/>
      <c r="X85" s="59"/>
      <c r="Z85" s="59"/>
      <c r="AA85" s="59"/>
      <c r="AF85" s="59"/>
      <c r="AH85" s="59"/>
      <c r="AI85" s="59"/>
      <c r="AN85" s="59"/>
      <c r="AP85" s="59"/>
      <c r="AQ85" s="59"/>
      <c r="AV85" s="59"/>
      <c r="AX85" s="59"/>
      <c r="AY85" s="59"/>
      <c r="BA85" s="59"/>
      <c r="BD85" s="379" t="s">
        <v>75</v>
      </c>
    </row>
    <row r="86" spans="1:58" ht="237" customHeight="1">
      <c r="A86" s="148"/>
      <c r="B86" s="148"/>
      <c r="C86" s="148"/>
      <c r="D86" s="148"/>
      <c r="E86" s="148"/>
      <c r="F86" s="59"/>
      <c r="G86" s="59"/>
      <c r="H86" s="59"/>
      <c r="I86" s="59"/>
      <c r="J86" s="59"/>
      <c r="O86" s="59"/>
      <c r="P86" s="59"/>
      <c r="Q86" s="59"/>
      <c r="X86" s="59"/>
      <c r="Z86" s="59"/>
      <c r="AA86" s="59"/>
      <c r="AF86" s="59"/>
      <c r="AH86" s="59"/>
      <c r="AI86" s="59"/>
      <c r="AN86" s="59"/>
      <c r="AP86" s="59"/>
      <c r="AQ86" s="59"/>
      <c r="AV86" s="59"/>
      <c r="AX86" s="59"/>
      <c r="AY86" s="59"/>
      <c r="BA86" s="59"/>
    </row>
    <row r="87" spans="1:58" ht="15" customHeight="1">
      <c r="A87" s="148"/>
      <c r="B87" s="148"/>
      <c r="C87" s="148"/>
      <c r="D87" s="148"/>
      <c r="E87" s="148"/>
      <c r="F87" s="59"/>
      <c r="H87" s="59"/>
    </row>
    <row r="88" spans="1:58" ht="15" customHeight="1">
      <c r="A88" s="148"/>
      <c r="B88" s="148"/>
      <c r="C88" s="148"/>
      <c r="D88" s="148"/>
      <c r="E88" s="148"/>
      <c r="F88" s="59"/>
    </row>
    <row r="89" spans="1:58" ht="15" customHeight="1">
      <c r="A89" s="148"/>
      <c r="B89" s="148"/>
      <c r="C89" s="148"/>
      <c r="D89" s="148"/>
      <c r="E89" s="148"/>
      <c r="F89" s="59"/>
    </row>
    <row r="90" spans="1:58" ht="15" customHeight="1">
      <c r="D90" s="59"/>
      <c r="E90" s="59"/>
      <c r="F90" s="59"/>
    </row>
    <row r="91" spans="1:58" ht="15" customHeight="1">
      <c r="D91" s="59"/>
      <c r="E91" s="59"/>
      <c r="F91" s="59"/>
    </row>
    <row r="92" spans="1:58" ht="15" customHeight="1">
      <c r="D92" s="59"/>
      <c r="E92" s="59"/>
      <c r="F92" s="59"/>
    </row>
    <row r="93" spans="1:58" ht="15" customHeight="1">
      <c r="A93" s="59"/>
      <c r="B93" s="59"/>
      <c r="C93" s="59"/>
      <c r="D93" s="59"/>
    </row>
    <row r="94" spans="1:58" ht="15" customHeight="1">
      <c r="A94" s="59"/>
      <c r="B94" s="59"/>
      <c r="C94" s="59"/>
      <c r="D94" s="59"/>
    </row>
    <row r="95" spans="1:58" ht="15" customHeight="1">
      <c r="A95" s="59"/>
      <c r="B95" s="59"/>
      <c r="C95" s="59"/>
      <c r="D95" s="59"/>
    </row>
    <row r="96" spans="1:58" ht="15" customHeight="1">
      <c r="A96" s="59"/>
      <c r="B96" s="59"/>
      <c r="C96" s="59"/>
      <c r="D96" s="59"/>
    </row>
    <row r="97" spans="1:4" ht="15" customHeight="1">
      <c r="A97" s="59"/>
      <c r="B97" s="59"/>
      <c r="C97" s="59"/>
      <c r="D97" s="59"/>
    </row>
    <row r="98" spans="1:4" ht="15" customHeight="1">
      <c r="A98" s="59"/>
      <c r="B98" s="59"/>
      <c r="C98" s="59"/>
      <c r="D98" s="59"/>
    </row>
    <row r="99" spans="1:4" ht="15" customHeight="1">
      <c r="A99" s="59"/>
      <c r="B99" s="59"/>
      <c r="C99" s="59"/>
      <c r="D99" s="59"/>
    </row>
    <row r="100" spans="1:4" ht="15" customHeight="1">
      <c r="A100" s="59"/>
      <c r="B100" s="59"/>
      <c r="C100" s="59"/>
      <c r="D100" s="59"/>
    </row>
    <row r="101" spans="1:4" ht="15" customHeight="1">
      <c r="A101" s="59"/>
      <c r="B101" s="59"/>
      <c r="C101" s="59"/>
      <c r="D101" s="59"/>
    </row>
    <row r="102" spans="1:4" ht="15" customHeight="1">
      <c r="A102" s="59"/>
      <c r="B102" s="59"/>
      <c r="C102" s="59"/>
      <c r="D102" s="59"/>
    </row>
    <row r="103" spans="1:4">
      <c r="A103" s="59"/>
      <c r="B103" s="59"/>
      <c r="C103" s="59"/>
      <c r="D103" s="59"/>
    </row>
    <row r="104" spans="1:4">
      <c r="A104" s="59"/>
      <c r="B104" s="59"/>
      <c r="C104" s="59"/>
      <c r="D104" s="59"/>
    </row>
    <row r="105" spans="1:4">
      <c r="A105" s="59"/>
      <c r="B105" s="59"/>
      <c r="C105" s="59"/>
      <c r="D105" s="59"/>
    </row>
    <row r="106" spans="1:4">
      <c r="A106" s="59"/>
      <c r="B106" s="59"/>
      <c r="C106" s="59"/>
      <c r="D106" s="59"/>
    </row>
    <row r="107" spans="1:4">
      <c r="A107" s="59"/>
      <c r="B107" s="59"/>
      <c r="C107" s="59"/>
      <c r="D107" s="59"/>
    </row>
    <row r="108" spans="1:4">
      <c r="A108" s="59"/>
      <c r="B108" s="59"/>
      <c r="C108" s="59"/>
      <c r="D108" s="59"/>
    </row>
    <row r="109" spans="1:4">
      <c r="A109" s="59"/>
      <c r="B109" s="59"/>
      <c r="C109" s="59"/>
      <c r="D109" s="59"/>
    </row>
    <row r="110" spans="1:4">
      <c r="A110" s="59"/>
      <c r="B110" s="59"/>
      <c r="C110" s="59"/>
      <c r="D110" s="59"/>
    </row>
    <row r="111" spans="1:4">
      <c r="A111" s="59"/>
      <c r="B111" s="59"/>
      <c r="C111" s="59"/>
      <c r="D111" s="59"/>
    </row>
    <row r="112" spans="1:4">
      <c r="A112" s="59"/>
      <c r="B112" s="59"/>
      <c r="C112" s="59"/>
      <c r="D112" s="59"/>
    </row>
    <row r="113" spans="1:4">
      <c r="A113" s="59"/>
      <c r="B113" s="59"/>
      <c r="C113" s="59"/>
      <c r="D113" s="59"/>
    </row>
    <row r="114" spans="1:4">
      <c r="A114" s="59"/>
      <c r="B114" s="59"/>
      <c r="C114" s="59"/>
      <c r="D114" s="59"/>
    </row>
    <row r="115" spans="1:4">
      <c r="A115" s="59"/>
      <c r="B115" s="59"/>
      <c r="C115" s="59"/>
      <c r="D115" s="59"/>
    </row>
    <row r="116" spans="1:4">
      <c r="A116" s="59"/>
      <c r="B116" s="59"/>
      <c r="C116" s="59"/>
      <c r="D116" s="59"/>
    </row>
    <row r="117" spans="1:4">
      <c r="A117" s="59"/>
      <c r="B117" s="59"/>
      <c r="C117" s="59"/>
      <c r="D117" s="59"/>
    </row>
    <row r="118" spans="1:4">
      <c r="A118" s="59"/>
      <c r="B118" s="59"/>
      <c r="C118" s="59"/>
      <c r="D118" s="59"/>
    </row>
    <row r="119" spans="1:4">
      <c r="A119" s="59"/>
      <c r="B119" s="59"/>
      <c r="C119" s="59"/>
      <c r="D119" s="59"/>
    </row>
    <row r="120" spans="1:4">
      <c r="A120" s="59"/>
      <c r="B120" s="59"/>
      <c r="C120" s="59"/>
      <c r="D120" s="59"/>
    </row>
    <row r="121" spans="1:4">
      <c r="A121" s="59"/>
      <c r="B121" s="59"/>
      <c r="C121" s="59"/>
      <c r="D121" s="59"/>
    </row>
    <row r="122" spans="1:4">
      <c r="A122" s="59"/>
      <c r="B122" s="59"/>
      <c r="C122" s="59"/>
      <c r="D122" s="59"/>
    </row>
    <row r="123" spans="1:4">
      <c r="A123" s="59"/>
      <c r="B123" s="59"/>
      <c r="C123" s="59"/>
      <c r="D123" s="59"/>
    </row>
    <row r="124" spans="1:4">
      <c r="A124" s="59"/>
      <c r="B124" s="59"/>
      <c r="C124" s="59"/>
      <c r="D124" s="59"/>
    </row>
    <row r="125" spans="1:4">
      <c r="A125" s="59"/>
      <c r="B125" s="59"/>
      <c r="C125" s="59"/>
      <c r="D125" s="59"/>
    </row>
    <row r="126" spans="1:4">
      <c r="A126" s="59"/>
      <c r="B126" s="59"/>
      <c r="C126" s="59"/>
    </row>
  </sheetData>
  <printOptions horizontalCentered="1" verticalCentered="1"/>
  <pageMargins left="0.5" right="0.5" top="0.5" bottom="0.5" header="0.5" footer="0.5"/>
  <pageSetup orientation="landscape" horizontalDpi="4294967292" vertic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Drop Down 20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Drop Down 21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6" name="Drop Down 23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Drop Down 22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" name="Drop Down -1022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" name="Drop Down 25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Drop Down 26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Drop Down 27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Drop Down 28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3" name="Drop Down 29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4" name="Drop Down 30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5" name="Drop Down 31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6" name="Drop Down 32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7" name="Drop Down 33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8" name="Drop Down 34">
              <controlPr defaultSize="0" print="0" autoFill="0" autoLine="0" autoPict="0" macro="[0]!DropDown2_Change">
                <anchor moveWithCells="1">
                  <from>
                    <xdr:col>20</xdr:col>
                    <xdr:colOff>355600</xdr:colOff>
                    <xdr:row>59374</xdr:row>
                    <xdr:rowOff>25400</xdr:rowOff>
                  </from>
                  <to>
                    <xdr:col>240</xdr:col>
                    <xdr:colOff>596900</xdr:colOff>
                    <xdr:row>59467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9" name="Drop Down 35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0" name="Drop Down 36">
              <controlPr defaultSize="0" print="0" autoFill="0" autoLine="0" autoPict="0" macro="[0]!DropDown2_Change">
                <anchor moveWithCells="1">
                  <from>
                    <xdr:col>20</xdr:col>
                    <xdr:colOff>736600</xdr:colOff>
                    <xdr:row>59374</xdr:row>
                    <xdr:rowOff>63500</xdr:rowOff>
                  </from>
                  <to>
                    <xdr:col>240</xdr:col>
                    <xdr:colOff>1257300</xdr:colOff>
                    <xdr:row>59467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1" name="Drop Down 37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22" name="Drop Down -1021">
              <controlPr defaultSize="0" print="0" autoFill="0" autoLine="0" autoPict="0" macro="[0]!DropDown2_Change">
                <anchor moveWithCells="1">
                  <from>
                    <xdr:col>20</xdr:col>
                    <xdr:colOff>444500</xdr:colOff>
                    <xdr:row>59374</xdr:row>
                    <xdr:rowOff>38100</xdr:rowOff>
                  </from>
                  <to>
                    <xdr:col>240</xdr:col>
                    <xdr:colOff>749300</xdr:colOff>
                    <xdr:row>59467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259"/>
  <sheetViews>
    <sheetView workbookViewId="0">
      <selection activeCell="I8" sqref="I8"/>
    </sheetView>
  </sheetViews>
  <sheetFormatPr baseColWidth="10" defaultColWidth="8.83203125" defaultRowHeight="13"/>
  <cols>
    <col min="1" max="1" width="14.33203125" customWidth="1"/>
    <col min="4" max="4" width="2.5" customWidth="1"/>
  </cols>
  <sheetData>
    <row r="1" spans="1:12" ht="12.75" customHeight="1">
      <c r="A1" s="382" t="s">
        <v>81</v>
      </c>
      <c r="E1" s="380" t="s">
        <v>82</v>
      </c>
      <c r="F1" s="381"/>
      <c r="G1" s="381"/>
      <c r="H1" s="381"/>
      <c r="I1" s="381"/>
      <c r="J1" s="381"/>
      <c r="K1" s="381"/>
      <c r="L1" s="381"/>
    </row>
    <row r="2" spans="1:12" ht="12.75" customHeight="1">
      <c r="A2" s="44"/>
      <c r="E2" s="380" t="s">
        <v>83</v>
      </c>
      <c r="F2" s="381"/>
      <c r="G2" s="381"/>
      <c r="H2" s="381"/>
      <c r="I2" s="381"/>
      <c r="J2" s="381"/>
      <c r="K2" s="381"/>
      <c r="L2" s="381"/>
    </row>
    <row r="3" spans="1:12">
      <c r="E3" s="380" t="s">
        <v>84</v>
      </c>
      <c r="F3" s="381"/>
      <c r="G3" s="381"/>
      <c r="H3" s="381"/>
      <c r="I3" s="381"/>
      <c r="J3" s="381"/>
      <c r="K3" s="381"/>
      <c r="L3" s="381"/>
    </row>
    <row r="6" spans="1:12">
      <c r="B6" s="187"/>
    </row>
    <row r="7" spans="1:12">
      <c r="B7" s="187"/>
    </row>
    <row r="48" spans="2:2">
      <c r="B48" s="187"/>
    </row>
    <row r="49" spans="2:2">
      <c r="B49" s="187"/>
    </row>
    <row r="55" spans="2:2">
      <c r="B55" s="187"/>
    </row>
    <row r="56" spans="2:2">
      <c r="B56" s="187"/>
    </row>
    <row r="62" spans="2:2">
      <c r="B62" s="187"/>
    </row>
    <row r="101" spans="1:3">
      <c r="A101">
        <v>199.03</v>
      </c>
      <c r="B101">
        <v>1.2919900095537165</v>
      </c>
    </row>
    <row r="102" spans="1:3">
      <c r="A102">
        <v>247.53</v>
      </c>
      <c r="B102">
        <v>0.82925669705568361</v>
      </c>
    </row>
    <row r="103" spans="1:3">
      <c r="A103">
        <v>398.02699999999999</v>
      </c>
      <c r="B103">
        <v>0.28406608248832349</v>
      </c>
    </row>
    <row r="104" spans="1:3">
      <c r="A104">
        <v>836.75</v>
      </c>
      <c r="B104">
        <v>3.6326197003450925E-2</v>
      </c>
    </row>
    <row r="105" spans="1:3">
      <c r="A105">
        <v>672.58</v>
      </c>
      <c r="B105">
        <v>7.0630192777683842E-2</v>
      </c>
    </row>
    <row r="107" spans="1:3">
      <c r="A107">
        <v>179.2</v>
      </c>
      <c r="B107">
        <v>1.867956225626906</v>
      </c>
      <c r="C107">
        <v>106.67658996582031</v>
      </c>
    </row>
    <row r="108" spans="1:3">
      <c r="A108">
        <v>199.03</v>
      </c>
      <c r="B108">
        <v>1.524104802875782</v>
      </c>
    </row>
    <row r="109" spans="1:3">
      <c r="A109">
        <v>247.53</v>
      </c>
      <c r="B109">
        <v>0.97823830327917694</v>
      </c>
    </row>
    <row r="110" spans="1:3">
      <c r="A110">
        <v>398.02699999999999</v>
      </c>
      <c r="B110">
        <v>0.33510048642257828</v>
      </c>
    </row>
    <row r="111" spans="1:3">
      <c r="A111">
        <v>836.75</v>
      </c>
      <c r="B111">
        <v>4.2852445385623182E-2</v>
      </c>
    </row>
    <row r="112" spans="1:3">
      <c r="A112">
        <v>672.58</v>
      </c>
      <c r="B112">
        <v>8.3319387336202713E-2</v>
      </c>
    </row>
    <row r="114" spans="1:3">
      <c r="A114">
        <v>179.2</v>
      </c>
      <c r="B114">
        <v>0.55632310542093366</v>
      </c>
      <c r="C114">
        <v>31.770900726318359</v>
      </c>
    </row>
    <row r="115" spans="1:3">
      <c r="A115">
        <v>199.03</v>
      </c>
      <c r="B115">
        <v>0.45391573169133154</v>
      </c>
    </row>
    <row r="116" spans="1:3">
      <c r="A116">
        <v>247.53</v>
      </c>
      <c r="B116">
        <v>0.29134332124904694</v>
      </c>
    </row>
    <row r="117" spans="1:3">
      <c r="A117">
        <v>398.02699999999999</v>
      </c>
      <c r="B117">
        <v>9.9801130603105151E-2</v>
      </c>
    </row>
    <row r="118" spans="1:3">
      <c r="A118">
        <v>836.75</v>
      </c>
      <c r="B118">
        <v>1.2762507581680592E-2</v>
      </c>
    </row>
    <row r="119" spans="1:3">
      <c r="A119">
        <v>672.58</v>
      </c>
      <c r="B119">
        <v>2.4814553825579889E-2</v>
      </c>
    </row>
    <row r="121" spans="1:3">
      <c r="A121">
        <v>179.2</v>
      </c>
      <c r="B121">
        <v>1.5834742973317208</v>
      </c>
      <c r="C121">
        <v>90.430191040039062</v>
      </c>
    </row>
    <row r="122" spans="1:3">
      <c r="A122">
        <v>199.03</v>
      </c>
      <c r="B122">
        <v>1.2919900095537165</v>
      </c>
    </row>
    <row r="123" spans="1:3">
      <c r="A123">
        <v>247.53</v>
      </c>
      <c r="B123">
        <v>0.82925669705568361</v>
      </c>
    </row>
    <row r="124" spans="1:3">
      <c r="A124">
        <v>398.02699999999999</v>
      </c>
      <c r="B124">
        <v>0.28406608248832349</v>
      </c>
    </row>
    <row r="125" spans="1:3">
      <c r="A125">
        <v>836.75</v>
      </c>
      <c r="B125">
        <v>3.6326197003450925E-2</v>
      </c>
    </row>
    <row r="126" spans="1:3">
      <c r="A126">
        <v>672.58</v>
      </c>
      <c r="B126">
        <v>7.0630192777683842E-2</v>
      </c>
    </row>
    <row r="128" spans="1:3">
      <c r="A128">
        <v>179.2</v>
      </c>
      <c r="B128">
        <v>1.9444033761354258</v>
      </c>
      <c r="C128">
        <v>111.04238891601562</v>
      </c>
    </row>
    <row r="129" spans="1:3">
      <c r="A129">
        <v>199.03</v>
      </c>
      <c r="B129">
        <v>1.5864796421025953</v>
      </c>
    </row>
    <row r="130" spans="1:3">
      <c r="A130">
        <v>247.53</v>
      </c>
      <c r="B130">
        <v>1.0182732515172621</v>
      </c>
    </row>
    <row r="131" spans="1:3">
      <c r="A131">
        <v>398.02699999999999</v>
      </c>
      <c r="B131">
        <v>0.34881466075363232</v>
      </c>
    </row>
    <row r="132" spans="1:3">
      <c r="A132">
        <v>836.75</v>
      </c>
      <c r="B132">
        <v>4.4606205616783537E-2</v>
      </c>
    </row>
    <row r="133" spans="1:3">
      <c r="A133">
        <v>672.58</v>
      </c>
      <c r="B133">
        <v>8.6729279739773707E-2</v>
      </c>
    </row>
    <row r="135" spans="1:3">
      <c r="A135">
        <v>179.2</v>
      </c>
      <c r="B135">
        <v>0.58743512676639975</v>
      </c>
      <c r="C135">
        <v>33.54766845703125</v>
      </c>
    </row>
    <row r="136" spans="1:3">
      <c r="A136">
        <v>199.03</v>
      </c>
      <c r="B136">
        <v>0.47930068478030702</v>
      </c>
    </row>
    <row r="137" spans="1:3">
      <c r="A137">
        <v>247.53</v>
      </c>
      <c r="B137">
        <v>0.30763651407392689</v>
      </c>
    </row>
    <row r="138" spans="1:3">
      <c r="A138">
        <v>398.02699999999999</v>
      </c>
      <c r="B138">
        <v>0.10538244634456817</v>
      </c>
    </row>
    <row r="139" spans="1:3">
      <c r="A139">
        <v>836.75</v>
      </c>
      <c r="B139">
        <v>1.3476242827320774E-2</v>
      </c>
    </row>
    <row r="140" spans="1:3">
      <c r="A140">
        <v>672.58</v>
      </c>
      <c r="B140">
        <v>2.6202292211379111E-2</v>
      </c>
    </row>
    <row r="142" spans="1:3">
      <c r="A142">
        <v>179.2</v>
      </c>
      <c r="B142">
        <v>1.645426208612101</v>
      </c>
      <c r="C142">
        <v>93.968185424804688</v>
      </c>
    </row>
    <row r="143" spans="1:3">
      <c r="A143">
        <v>199.03</v>
      </c>
      <c r="B143">
        <v>1.3425378779857362</v>
      </c>
    </row>
    <row r="144" spans="1:3">
      <c r="A144">
        <v>247.53</v>
      </c>
      <c r="B144">
        <v>0.86170056899678449</v>
      </c>
    </row>
    <row r="145" spans="1:3">
      <c r="A145">
        <v>398.02699999999999</v>
      </c>
      <c r="B145">
        <v>0.29517989517839144</v>
      </c>
    </row>
    <row r="146" spans="1:3">
      <c r="A146">
        <v>836.75</v>
      </c>
      <c r="B146">
        <v>3.7747424577339324E-2</v>
      </c>
    </row>
    <row r="147" spans="1:3">
      <c r="A147">
        <v>672.58</v>
      </c>
      <c r="B147">
        <v>7.3393531244277582E-2</v>
      </c>
    </row>
    <row r="149" spans="1:3">
      <c r="A149">
        <v>179.2</v>
      </c>
      <c r="B149">
        <v>1.5661785332898119</v>
      </c>
      <c r="C149">
        <v>89.611373901367188</v>
      </c>
    </row>
    <row r="150" spans="1:3">
      <c r="A150">
        <v>199.03</v>
      </c>
      <c r="B150">
        <v>1.2776112468446952</v>
      </c>
    </row>
    <row r="151" spans="1:3">
      <c r="A151">
        <v>247.53</v>
      </c>
      <c r="B151">
        <v>0.8196091146446387</v>
      </c>
    </row>
    <row r="152" spans="1:3">
      <c r="A152">
        <v>398.02699999999999</v>
      </c>
      <c r="B152">
        <v>0.28031670977878897</v>
      </c>
    </row>
    <row r="153" spans="1:3">
      <c r="A153">
        <v>836.75</v>
      </c>
      <c r="B153">
        <v>3.5681521353022057E-2</v>
      </c>
    </row>
    <row r="154" spans="1:3">
      <c r="A154">
        <v>672.58</v>
      </c>
      <c r="B154">
        <v>6.9496755722043085E-2</v>
      </c>
    </row>
    <row r="156" spans="1:3">
      <c r="A156">
        <v>179.2</v>
      </c>
      <c r="B156">
        <v>2.5256049645700527</v>
      </c>
      <c r="C156">
        <v>144.5064697265625</v>
      </c>
    </row>
    <row r="157" spans="1:3">
      <c r="A157">
        <v>199.03</v>
      </c>
      <c r="B157">
        <v>2.0602640371041332</v>
      </c>
    </row>
    <row r="158" spans="1:3">
      <c r="A158">
        <v>247.53</v>
      </c>
      <c r="B158">
        <v>1.3216940501701557</v>
      </c>
    </row>
    <row r="159" spans="1:3">
      <c r="A159">
        <v>398.02699999999999</v>
      </c>
      <c r="B159">
        <v>0.45203612412062533</v>
      </c>
    </row>
    <row r="160" spans="1:3">
      <c r="A160">
        <v>836.75</v>
      </c>
      <c r="B160">
        <v>5.7539690116496553E-2</v>
      </c>
    </row>
    <row r="161" spans="1:3">
      <c r="A161">
        <v>672.58</v>
      </c>
      <c r="B161">
        <v>0.11206982316659367</v>
      </c>
    </row>
    <row r="163" spans="1:3">
      <c r="A163">
        <v>179.2</v>
      </c>
      <c r="B163">
        <v>0.60541507795795191</v>
      </c>
      <c r="C163">
        <v>34.639778137207031</v>
      </c>
    </row>
    <row r="164" spans="1:3">
      <c r="A164">
        <v>199.03</v>
      </c>
      <c r="B164">
        <v>0.49386777826899803</v>
      </c>
    </row>
    <row r="165" spans="1:3">
      <c r="A165">
        <v>247.53</v>
      </c>
      <c r="B165">
        <v>0.31682449062517731</v>
      </c>
    </row>
    <row r="166" spans="1:3">
      <c r="A166">
        <v>398.02699999999999</v>
      </c>
      <c r="B166">
        <v>0.10835799310003612</v>
      </c>
    </row>
    <row r="167" spans="1:3">
      <c r="A167">
        <v>836.75</v>
      </c>
      <c r="B167">
        <v>1.3792891788793808E-2</v>
      </c>
    </row>
    <row r="168" spans="1:3">
      <c r="A168">
        <v>672.58</v>
      </c>
      <c r="B168">
        <v>2.6864359898297649E-2</v>
      </c>
    </row>
    <row r="170" spans="1:3">
      <c r="A170">
        <v>179.2</v>
      </c>
      <c r="B170">
        <v>1.5661785332898119</v>
      </c>
      <c r="C170">
        <v>89.611373901367188</v>
      </c>
    </row>
    <row r="171" spans="1:3">
      <c r="A171">
        <v>199.03</v>
      </c>
      <c r="B171">
        <v>1.2776112468446952</v>
      </c>
    </row>
    <row r="172" spans="1:3">
      <c r="A172">
        <v>247.53</v>
      </c>
      <c r="B172">
        <v>0.8196091146446387</v>
      </c>
    </row>
    <row r="173" spans="1:3">
      <c r="A173">
        <v>398.02699999999999</v>
      </c>
      <c r="B173">
        <v>0.28031670977878897</v>
      </c>
    </row>
    <row r="174" spans="1:3">
      <c r="A174">
        <v>836.75</v>
      </c>
      <c r="B174">
        <v>3.5681521353022057E-2</v>
      </c>
    </row>
    <row r="175" spans="1:3">
      <c r="A175">
        <v>672.58</v>
      </c>
      <c r="B175">
        <v>6.9496755722043085E-2</v>
      </c>
    </row>
    <row r="177" spans="1:3">
      <c r="A177">
        <v>179.2</v>
      </c>
      <c r="B177">
        <v>2.5256049645700527</v>
      </c>
      <c r="C177">
        <v>144.5064697265625</v>
      </c>
    </row>
    <row r="178" spans="1:3">
      <c r="A178">
        <v>199.03</v>
      </c>
      <c r="B178">
        <v>2.0602640371041332</v>
      </c>
    </row>
    <row r="179" spans="1:3">
      <c r="A179">
        <v>247.53</v>
      </c>
      <c r="B179">
        <v>1.3216940501701557</v>
      </c>
    </row>
    <row r="180" spans="1:3">
      <c r="A180">
        <v>398.02699999999999</v>
      </c>
      <c r="B180">
        <v>0.45203612412062533</v>
      </c>
    </row>
    <row r="181" spans="1:3">
      <c r="A181">
        <v>836.75</v>
      </c>
      <c r="B181">
        <v>5.7539690116496553E-2</v>
      </c>
    </row>
    <row r="182" spans="1:3">
      <c r="A182">
        <v>672.58</v>
      </c>
      <c r="B182">
        <v>0.11206982316659367</v>
      </c>
    </row>
    <row r="184" spans="1:3">
      <c r="A184">
        <v>179.2</v>
      </c>
      <c r="B184">
        <v>0.63805784805706567</v>
      </c>
      <c r="C184">
        <v>36.438667297363281</v>
      </c>
    </row>
    <row r="185" spans="1:3">
      <c r="A185">
        <v>199.03</v>
      </c>
      <c r="B185">
        <v>0.52060482863295665</v>
      </c>
    </row>
    <row r="186" spans="1:3">
      <c r="A186">
        <v>247.53</v>
      </c>
      <c r="B186">
        <v>0.33414735212428648</v>
      </c>
    </row>
    <row r="187" spans="1:3">
      <c r="A187">
        <v>398.02699999999999</v>
      </c>
      <c r="B187">
        <v>0.11446386821934662</v>
      </c>
    </row>
    <row r="188" spans="1:3">
      <c r="A188">
        <v>836.75</v>
      </c>
      <c r="B188">
        <v>1.4637569505975593E-2</v>
      </c>
    </row>
    <row r="189" spans="1:3">
      <c r="A189">
        <v>672.58</v>
      </c>
      <c r="B189">
        <v>2.8460297011151162E-2</v>
      </c>
    </row>
    <row r="191" spans="1:3">
      <c r="A191">
        <v>179.2</v>
      </c>
      <c r="B191">
        <v>0.28076109569143276</v>
      </c>
      <c r="C191">
        <v>16.033906936645508</v>
      </c>
    </row>
    <row r="192" spans="1:3">
      <c r="A192">
        <v>199.03</v>
      </c>
      <c r="B192">
        <v>0.22907888768130466</v>
      </c>
    </row>
    <row r="193" spans="1:3">
      <c r="A193">
        <v>247.53</v>
      </c>
      <c r="B193">
        <v>0.14703302684933847</v>
      </c>
    </row>
    <row r="194" spans="1:3">
      <c r="A194">
        <v>398.02699999999999</v>
      </c>
      <c r="B194">
        <v>5.0366908198375922E-2</v>
      </c>
    </row>
    <row r="195" spans="1:3">
      <c r="A195">
        <v>836.75</v>
      </c>
      <c r="B195">
        <v>6.4408894354507761E-3</v>
      </c>
    </row>
    <row r="196" spans="1:3">
      <c r="A196">
        <v>672.58</v>
      </c>
      <c r="B196">
        <v>1.2523228413985062E-2</v>
      </c>
    </row>
    <row r="198" spans="1:3">
      <c r="A198">
        <v>179.2</v>
      </c>
      <c r="B198">
        <v>0.28474771398065074</v>
      </c>
      <c r="C198">
        <v>16.261577606201172</v>
      </c>
    </row>
    <row r="199" spans="1:3">
      <c r="A199">
        <v>199.03</v>
      </c>
      <c r="B199">
        <v>0.23233165345732829</v>
      </c>
    </row>
    <row r="200" spans="1:3">
      <c r="A200">
        <v>247.53</v>
      </c>
      <c r="B200">
        <v>0.1491207967111603</v>
      </c>
    </row>
    <row r="201" spans="1:3">
      <c r="A201">
        <v>398.02699999999999</v>
      </c>
      <c r="B201">
        <v>5.1082084340927002E-2</v>
      </c>
    </row>
    <row r="202" spans="1:3">
      <c r="A202">
        <v>836.75</v>
      </c>
      <c r="B202">
        <v>6.5323457234345616E-3</v>
      </c>
    </row>
    <row r="203" spans="1:3">
      <c r="A203">
        <v>672.58</v>
      </c>
      <c r="B203">
        <v>1.2701049815174196E-2</v>
      </c>
    </row>
    <row r="205" spans="1:3">
      <c r="A205">
        <v>179.2</v>
      </c>
      <c r="B205">
        <v>0.23580667663501634</v>
      </c>
      <c r="C205">
        <v>13.466617584228516</v>
      </c>
    </row>
    <row r="206" spans="1:3">
      <c r="A206">
        <v>199.03</v>
      </c>
      <c r="B206">
        <v>0.19239963093299384</v>
      </c>
    </row>
    <row r="207" spans="1:3">
      <c r="A207">
        <v>247.53</v>
      </c>
      <c r="B207">
        <v>0.12349064720503442</v>
      </c>
    </row>
    <row r="208" spans="1:3">
      <c r="A208">
        <v>398.02699999999999</v>
      </c>
      <c r="B208">
        <v>4.2302346788435051E-2</v>
      </c>
    </row>
    <row r="209" spans="1:3">
      <c r="A209">
        <v>836.75</v>
      </c>
      <c r="B209">
        <v>5.409598251520072E-3</v>
      </c>
    </row>
    <row r="210" spans="1:3">
      <c r="A210">
        <v>672.58</v>
      </c>
      <c r="B210">
        <v>1.0518055807449019E-2</v>
      </c>
    </row>
    <row r="212" spans="1:3">
      <c r="A212">
        <v>179.2</v>
      </c>
      <c r="B212">
        <v>2.4066732837880793</v>
      </c>
      <c r="C212">
        <v>137.44203186035156</v>
      </c>
    </row>
    <row r="213" spans="1:3">
      <c r="A213">
        <v>199.03</v>
      </c>
      <c r="B213">
        <v>1.9636553900202958</v>
      </c>
    </row>
    <row r="214" spans="1:3">
      <c r="A214">
        <v>247.53</v>
      </c>
      <c r="B214">
        <v>1.2603614353382655</v>
      </c>
    </row>
    <row r="215" spans="1:3">
      <c r="A215">
        <v>398.02699999999999</v>
      </c>
      <c r="B215">
        <v>0.43174319451032472</v>
      </c>
    </row>
    <row r="216" spans="1:3">
      <c r="A216">
        <v>836.75</v>
      </c>
      <c r="B216">
        <v>5.5211055826511646E-2</v>
      </c>
    </row>
    <row r="217" spans="1:3">
      <c r="A217">
        <v>672.58</v>
      </c>
      <c r="B217">
        <v>0.10734863096501761</v>
      </c>
    </row>
    <row r="219" spans="1:3">
      <c r="A219">
        <v>179.2</v>
      </c>
      <c r="B219">
        <v>0.22118308676736345</v>
      </c>
      <c r="C219">
        <v>12.63148307800293</v>
      </c>
    </row>
    <row r="220" spans="1:3">
      <c r="A220">
        <v>199.03</v>
      </c>
      <c r="B220">
        <v>0.18046793614978479</v>
      </c>
    </row>
    <row r="221" spans="1:3">
      <c r="A221">
        <v>247.53</v>
      </c>
      <c r="B221">
        <v>0.11583235439082123</v>
      </c>
    </row>
    <row r="222" spans="1:3">
      <c r="A222">
        <v>398.02699999999999</v>
      </c>
      <c r="B222">
        <v>3.9678959788961791E-2</v>
      </c>
    </row>
    <row r="223" spans="1:3">
      <c r="A223">
        <v>836.75</v>
      </c>
      <c r="B223">
        <v>5.0741211254781947E-3</v>
      </c>
    </row>
    <row r="224" spans="1:3">
      <c r="A224">
        <v>672.58</v>
      </c>
      <c r="B224">
        <v>9.86577684517311E-3</v>
      </c>
    </row>
    <row r="226" spans="1:3">
      <c r="A226">
        <v>179.2</v>
      </c>
      <c r="B226">
        <v>0.28132910488378166</v>
      </c>
      <c r="C226">
        <v>16.06634521484375</v>
      </c>
    </row>
    <row r="227" spans="1:3">
      <c r="A227">
        <v>199.03</v>
      </c>
      <c r="B227">
        <v>0.22954233833729948</v>
      </c>
    </row>
    <row r="228" spans="1:3">
      <c r="A228">
        <v>247.53</v>
      </c>
      <c r="B228">
        <v>0.14733049010942309</v>
      </c>
    </row>
    <row r="229" spans="1:3">
      <c r="A229">
        <v>398.02699999999999</v>
      </c>
      <c r="B229">
        <v>5.0468805745030008E-2</v>
      </c>
    </row>
    <row r="230" spans="1:3">
      <c r="A230">
        <v>836.75</v>
      </c>
      <c r="B230">
        <v>6.4539200314356971E-3</v>
      </c>
    </row>
    <row r="231" spans="1:3">
      <c r="A231">
        <v>672.58</v>
      </c>
      <c r="B231">
        <v>1.2548564220712523E-2</v>
      </c>
    </row>
    <row r="233" spans="1:3">
      <c r="A233">
        <v>179.2</v>
      </c>
      <c r="B233">
        <v>0.2935724132714842</v>
      </c>
      <c r="C233">
        <v>16.765544891357422</v>
      </c>
    </row>
    <row r="234" spans="1:3">
      <c r="A234">
        <v>199.03</v>
      </c>
      <c r="B234">
        <v>0.2395319113587574</v>
      </c>
    </row>
    <row r="235" spans="1:3">
      <c r="A235">
        <v>247.53</v>
      </c>
      <c r="B235">
        <v>0.15374224272942377</v>
      </c>
    </row>
    <row r="236" spans="1:3">
      <c r="A236">
        <v>398.02699999999999</v>
      </c>
      <c r="B236">
        <v>5.2665184086157286E-2</v>
      </c>
    </row>
    <row r="237" spans="1:3">
      <c r="A237">
        <v>836.75</v>
      </c>
      <c r="B237">
        <v>6.734791551241944E-3</v>
      </c>
    </row>
    <row r="238" spans="1:3">
      <c r="A238">
        <v>672.58</v>
      </c>
      <c r="B238">
        <v>1.3094671747129107E-2</v>
      </c>
    </row>
    <row r="240" spans="1:3">
      <c r="A240">
        <v>179.2</v>
      </c>
      <c r="B240">
        <v>0.29735970899587955</v>
      </c>
      <c r="C240">
        <v>16.981832504272461</v>
      </c>
    </row>
    <row r="241" spans="1:3">
      <c r="A241">
        <v>199.03</v>
      </c>
      <c r="B241">
        <v>0.2426220456586255</v>
      </c>
    </row>
    <row r="242" spans="1:3">
      <c r="A242">
        <v>247.53</v>
      </c>
      <c r="B242">
        <v>0.15572562847081373</v>
      </c>
    </row>
    <row r="243" spans="1:3">
      <c r="A243">
        <v>398.02699999999999</v>
      </c>
      <c r="B243">
        <v>5.3344602919457348E-2</v>
      </c>
    </row>
    <row r="244" spans="1:3">
      <c r="A244">
        <v>836.75</v>
      </c>
      <c r="B244">
        <v>6.8216752163740785E-3</v>
      </c>
    </row>
    <row r="245" spans="1:3">
      <c r="A245">
        <v>672.58</v>
      </c>
      <c r="B245">
        <v>1.3263602450690824E-2</v>
      </c>
    </row>
    <row r="247" spans="1:3">
      <c r="A247">
        <v>179.2</v>
      </c>
      <c r="B247">
        <v>0.24706240650721575</v>
      </c>
      <c r="C247">
        <v>14.109417915344238</v>
      </c>
    </row>
    <row r="248" spans="1:3">
      <c r="A248">
        <v>199.03</v>
      </c>
      <c r="B248">
        <v>0.20158341785623085</v>
      </c>
    </row>
    <row r="249" spans="1:3">
      <c r="A249">
        <v>247.53</v>
      </c>
      <c r="B249">
        <v>0.12938521044013043</v>
      </c>
    </row>
    <row r="250" spans="1:3">
      <c r="A250">
        <v>398.02699999999999</v>
      </c>
      <c r="B250">
        <v>4.432155928574575E-2</v>
      </c>
    </row>
    <row r="251" spans="1:3">
      <c r="A251">
        <v>836.75</v>
      </c>
      <c r="B251">
        <v>5.6678139115052921E-3</v>
      </c>
    </row>
    <row r="252" spans="1:3">
      <c r="A252">
        <v>672.58</v>
      </c>
      <c r="B252">
        <v>1.1020112817194366E-2</v>
      </c>
    </row>
    <row r="254" spans="1:3">
      <c r="A254">
        <v>179.2</v>
      </c>
      <c r="B254">
        <v>2.5107519924248791</v>
      </c>
      <c r="C254">
        <v>143.38583374023438</v>
      </c>
    </row>
    <row r="255" spans="1:3">
      <c r="A255">
        <v>199.03</v>
      </c>
      <c r="B255">
        <v>2.048575399137329</v>
      </c>
    </row>
    <row r="256" spans="1:3">
      <c r="A256">
        <v>247.53</v>
      </c>
      <c r="B256">
        <v>1.3148668771401371</v>
      </c>
    </row>
    <row r="257" spans="1:2">
      <c r="A257">
        <v>398.02699999999999</v>
      </c>
      <c r="B257">
        <v>0.450414309717385</v>
      </c>
    </row>
    <row r="258" spans="1:2">
      <c r="A258">
        <v>836.75</v>
      </c>
      <c r="B258">
        <v>5.7598706627144197E-2</v>
      </c>
    </row>
    <row r="259" spans="1:2">
      <c r="A259">
        <v>672.58</v>
      </c>
      <c r="B259">
        <v>0.11199101718338361</v>
      </c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L45"/>
  <sheetViews>
    <sheetView topLeftCell="A2" workbookViewId="0">
      <selection activeCell="D11" sqref="D11"/>
    </sheetView>
  </sheetViews>
  <sheetFormatPr baseColWidth="10" defaultColWidth="8.83203125" defaultRowHeight="13"/>
  <sheetData>
    <row r="1" spans="1:12">
      <c r="A1" s="2" t="s">
        <v>85</v>
      </c>
      <c r="B1" s="2" t="s">
        <v>86</v>
      </c>
      <c r="C1" s="2" t="s">
        <v>87</v>
      </c>
      <c r="D1" s="2" t="s">
        <v>88</v>
      </c>
      <c r="F1" s="2" t="s">
        <v>89</v>
      </c>
    </row>
    <row r="2" spans="1:12">
      <c r="A2">
        <v>13.882479999999999</v>
      </c>
      <c r="B2">
        <v>26</v>
      </c>
      <c r="C2">
        <v>56</v>
      </c>
      <c r="D2">
        <v>100</v>
      </c>
      <c r="F2" s="1" t="s">
        <v>90</v>
      </c>
    </row>
    <row r="3" spans="1:12" ht="14" thickBot="1">
      <c r="F3" s="1"/>
    </row>
    <row r="4" spans="1:12">
      <c r="A4" s="21" t="s">
        <v>91</v>
      </c>
      <c r="B4" s="15" t="s">
        <v>92</v>
      </c>
      <c r="C4" s="15" t="s">
        <v>93</v>
      </c>
      <c r="D4" s="16" t="s">
        <v>94</v>
      </c>
      <c r="F4" s="10" t="s">
        <v>95</v>
      </c>
      <c r="G4" s="11" t="s">
        <v>96</v>
      </c>
      <c r="I4" s="24" t="s">
        <v>97</v>
      </c>
      <c r="J4" s="9" t="s">
        <v>98</v>
      </c>
      <c r="K4" s="8" t="s">
        <v>99</v>
      </c>
      <c r="L4" s="9" t="s">
        <v>100</v>
      </c>
    </row>
    <row r="5" spans="1:12">
      <c r="A5" s="17" t="s">
        <v>101</v>
      </c>
      <c r="B5" s="3">
        <v>179.2</v>
      </c>
      <c r="C5" s="3">
        <v>132</v>
      </c>
      <c r="D5" s="5">
        <v>88.91</v>
      </c>
      <c r="F5" s="12">
        <v>500</v>
      </c>
      <c r="G5" s="14">
        <v>2.9562439999999999E-2</v>
      </c>
      <c r="I5" s="12">
        <v>400</v>
      </c>
      <c r="J5" s="14">
        <v>1.32E-14</v>
      </c>
      <c r="K5" s="3">
        <v>400</v>
      </c>
      <c r="L5" s="5">
        <v>492</v>
      </c>
    </row>
    <row r="6" spans="1:12">
      <c r="A6" s="18" t="s">
        <v>102</v>
      </c>
      <c r="B6" s="3">
        <v>199.03</v>
      </c>
      <c r="C6" s="3">
        <v>196</v>
      </c>
      <c r="D6" s="5">
        <v>203.2</v>
      </c>
      <c r="F6" s="12">
        <v>1000</v>
      </c>
      <c r="G6" s="14">
        <v>5.2529070999999997E-2</v>
      </c>
      <c r="I6" s="12">
        <v>630</v>
      </c>
      <c r="J6" s="14">
        <v>1.3699999999999999E-14</v>
      </c>
      <c r="K6" s="3">
        <v>1000</v>
      </c>
      <c r="L6" s="5">
        <v>570</v>
      </c>
    </row>
    <row r="7" spans="1:12">
      <c r="A7" s="17" t="s">
        <v>103</v>
      </c>
      <c r="B7" s="4">
        <v>247.53</v>
      </c>
      <c r="C7" s="4">
        <v>286</v>
      </c>
      <c r="D7" s="19">
        <v>315.74</v>
      </c>
      <c r="F7" s="12">
        <v>1500</v>
      </c>
      <c r="G7" s="14">
        <v>6.8561501999999996E-2</v>
      </c>
      <c r="I7" s="12">
        <v>1000</v>
      </c>
      <c r="J7" s="14">
        <v>1.41E-14</v>
      </c>
      <c r="K7" s="3">
        <v>3000</v>
      </c>
      <c r="L7" s="5">
        <v>641</v>
      </c>
    </row>
    <row r="8" spans="1:12">
      <c r="A8" s="17" t="s">
        <v>104</v>
      </c>
      <c r="B8" s="3">
        <v>398.02699999999999</v>
      </c>
      <c r="C8" s="3">
        <v>388.8</v>
      </c>
      <c r="D8" s="5">
        <v>362.13400000000001</v>
      </c>
      <c r="F8" s="12">
        <v>2000</v>
      </c>
      <c r="G8" s="14">
        <v>8.1035621000000002E-2</v>
      </c>
      <c r="I8" s="12">
        <v>1600</v>
      </c>
      <c r="J8" s="14">
        <v>1.44E-14</v>
      </c>
      <c r="K8" s="3">
        <v>5000</v>
      </c>
      <c r="L8" s="5">
        <v>656</v>
      </c>
    </row>
    <row r="9" spans="1:12" ht="14" thickBot="1">
      <c r="A9" s="17" t="s">
        <v>105</v>
      </c>
      <c r="B9" s="3">
        <v>836.75</v>
      </c>
      <c r="C9" s="3">
        <v>846.96</v>
      </c>
      <c r="D9" s="5">
        <v>829.94</v>
      </c>
      <c r="F9" s="12">
        <v>2500</v>
      </c>
      <c r="G9" s="14">
        <v>9.1319396999999997E-2</v>
      </c>
      <c r="I9" s="12">
        <v>2500</v>
      </c>
      <c r="J9" s="14">
        <v>1.4500000000000001E-14</v>
      </c>
      <c r="K9" s="6">
        <v>6000</v>
      </c>
      <c r="L9" s="7">
        <v>656</v>
      </c>
    </row>
    <row r="10" spans="1:12" ht="14" thickBot="1">
      <c r="A10" s="20" t="s">
        <v>106</v>
      </c>
      <c r="B10" s="6">
        <v>672.58</v>
      </c>
      <c r="C10" s="6">
        <v>688.47</v>
      </c>
      <c r="D10" s="7">
        <v>701.79</v>
      </c>
      <c r="F10" s="12">
        <v>3000</v>
      </c>
      <c r="G10" s="5">
        <v>0.1001078</v>
      </c>
      <c r="I10" s="12">
        <v>4000</v>
      </c>
      <c r="J10" s="14">
        <v>1.4599999999999999E-14</v>
      </c>
    </row>
    <row r="11" spans="1:12" ht="14" thickBot="1">
      <c r="A11" s="10" t="s">
        <v>107</v>
      </c>
      <c r="B11" s="22">
        <v>1.107</v>
      </c>
      <c r="C11" s="22">
        <v>0.99226999999999999</v>
      </c>
      <c r="D11" s="23">
        <v>1.181</v>
      </c>
      <c r="F11" s="12">
        <v>3500</v>
      </c>
      <c r="G11" s="5">
        <v>0.107805</v>
      </c>
      <c r="I11" s="13">
        <v>6300</v>
      </c>
      <c r="J11" s="27">
        <v>1.4599999999999999E-14</v>
      </c>
    </row>
    <row r="12" spans="1:12">
      <c r="A12" s="25" t="s">
        <v>108</v>
      </c>
      <c r="B12" s="3">
        <v>286.5</v>
      </c>
      <c r="C12" s="3">
        <v>286.5</v>
      </c>
      <c r="D12" s="5">
        <v>382</v>
      </c>
      <c r="F12" s="12">
        <v>4000</v>
      </c>
      <c r="G12" s="5">
        <v>0.1146679</v>
      </c>
    </row>
    <row r="13" spans="1:12">
      <c r="A13" s="25" t="s">
        <v>109</v>
      </c>
      <c r="B13" s="3">
        <v>36.5</v>
      </c>
      <c r="C13" s="3">
        <v>18.3</v>
      </c>
      <c r="D13" s="5">
        <v>33.51</v>
      </c>
      <c r="F13" s="12">
        <v>4500</v>
      </c>
      <c r="G13" s="5">
        <v>0.12087059999999999</v>
      </c>
    </row>
    <row r="14" spans="1:12" ht="14" thickBot="1">
      <c r="A14" s="26" t="s">
        <v>110</v>
      </c>
      <c r="B14" s="6">
        <v>56.4</v>
      </c>
      <c r="C14" s="6">
        <v>31.8</v>
      </c>
      <c r="D14" s="7">
        <v>48.62</v>
      </c>
      <c r="F14" s="12">
        <v>5000</v>
      </c>
      <c r="G14" s="5">
        <v>0.1265365</v>
      </c>
    </row>
    <row r="15" spans="1:12">
      <c r="F15" s="12">
        <v>5500</v>
      </c>
      <c r="G15" s="5">
        <v>0.13175719999999999</v>
      </c>
    </row>
    <row r="16" spans="1:12">
      <c r="F16" s="12">
        <v>6000</v>
      </c>
      <c r="G16" s="5">
        <v>0.13660159999999999</v>
      </c>
    </row>
    <row r="17" spans="6:10">
      <c r="F17" s="12">
        <v>6500</v>
      </c>
      <c r="G17" s="5">
        <v>0.141124</v>
      </c>
    </row>
    <row r="18" spans="6:10">
      <c r="F18" s="12">
        <v>7000</v>
      </c>
      <c r="G18" s="5">
        <v>0.1453671</v>
      </c>
    </row>
    <row r="19" spans="6:10">
      <c r="F19" s="12">
        <v>7500</v>
      </c>
      <c r="G19" s="5">
        <v>0.14936559999999999</v>
      </c>
    </row>
    <row r="20" spans="6:10">
      <c r="F20" s="12">
        <v>8000</v>
      </c>
      <c r="G20" s="5">
        <v>0.15314800000000001</v>
      </c>
    </row>
    <row r="21" spans="6:10">
      <c r="F21" s="12">
        <v>8500</v>
      </c>
      <c r="G21" s="5">
        <v>0.15673799999999999</v>
      </c>
    </row>
    <row r="22" spans="6:10">
      <c r="F22" s="12">
        <v>9000</v>
      </c>
      <c r="G22" s="5">
        <v>0.1601553</v>
      </c>
    </row>
    <row r="23" spans="6:10">
      <c r="F23" s="12">
        <v>9500</v>
      </c>
      <c r="G23" s="5">
        <v>0.1634169</v>
      </c>
    </row>
    <row r="24" spans="6:10" ht="14" thickBot="1">
      <c r="F24" s="13">
        <v>10000</v>
      </c>
      <c r="G24" s="7">
        <v>0.1665374</v>
      </c>
    </row>
    <row r="26" spans="6:10">
      <c r="H26">
        <f>AVERAGE(tni)</f>
        <v>0.11986034655000002</v>
      </c>
      <c r="I26">
        <f>MIN(tni)</f>
        <v>2.9562439999999999E-2</v>
      </c>
      <c r="J26">
        <f>I26/H26</f>
        <v>0.2466407018743931</v>
      </c>
    </row>
    <row r="27" spans="6:10">
      <c r="I27">
        <f>MAX(tni)</f>
        <v>0.1665374</v>
      </c>
      <c r="J27">
        <f>I27/H26</f>
        <v>1.3894286542090761</v>
      </c>
    </row>
    <row r="43" spans="8:12">
      <c r="H43" s="3"/>
      <c r="I43" s="3"/>
      <c r="J43" s="3"/>
      <c r="K43" s="3"/>
      <c r="L43" s="3"/>
    </row>
    <row r="44" spans="8:12" ht="16">
      <c r="H44" s="3"/>
      <c r="I44" s="161"/>
      <c r="J44" s="162"/>
      <c r="K44" s="162"/>
      <c r="L44" s="3"/>
    </row>
    <row r="45" spans="8:12">
      <c r="H45" s="3"/>
      <c r="I45" s="3"/>
      <c r="J45" s="3"/>
      <c r="K45" s="3"/>
      <c r="L45" s="3"/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FFD1A-338A-7F45-807D-20001E2403A2}">
  <sheetPr codeName="Sheet8"/>
  <dimension ref="A1"/>
  <sheetViews>
    <sheetView workbookViewId="0"/>
  </sheetViews>
  <sheetFormatPr baseColWidth="10" defaultRowHeight="1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K50"/>
  <sheetViews>
    <sheetView workbookViewId="0">
      <selection activeCell="I1" sqref="I1:K13"/>
    </sheetView>
  </sheetViews>
  <sheetFormatPr baseColWidth="10" defaultColWidth="8.83203125" defaultRowHeight="13"/>
  <sheetData>
    <row r="1" spans="1:11" ht="17" thickBot="1">
      <c r="A1" s="57" t="s">
        <v>111</v>
      </c>
      <c r="C1" s="93">
        <v>1</v>
      </c>
      <c r="E1" s="49" t="s">
        <v>112</v>
      </c>
      <c r="F1" s="51" t="s">
        <v>113</v>
      </c>
      <c r="G1" s="52" t="s">
        <v>114</v>
      </c>
      <c r="I1" s="49" t="s">
        <v>115</v>
      </c>
      <c r="J1" s="50" t="s">
        <v>116</v>
      </c>
      <c r="K1" s="150" t="s">
        <v>117</v>
      </c>
    </row>
    <row r="2" spans="1:11" ht="17" thickBot="1">
      <c r="A2" s="55" t="s">
        <v>22</v>
      </c>
      <c r="C2" s="94">
        <v>2</v>
      </c>
      <c r="E2" s="167" t="s">
        <v>118</v>
      </c>
      <c r="F2" s="168"/>
      <c r="G2" s="169"/>
      <c r="I2" s="163" t="s">
        <v>24</v>
      </c>
      <c r="J2" s="41">
        <v>63.1</v>
      </c>
      <c r="K2" s="151">
        <v>7.0800000000000002E-2</v>
      </c>
    </row>
    <row r="3" spans="1:11" ht="17" thickBot="1">
      <c r="A3" s="56" t="s">
        <v>25</v>
      </c>
      <c r="C3" s="94">
        <v>3</v>
      </c>
      <c r="E3" s="163" t="s">
        <v>24</v>
      </c>
      <c r="F3" s="42">
        <v>1</v>
      </c>
      <c r="G3" s="53">
        <v>1</v>
      </c>
      <c r="I3" s="33" t="s">
        <v>79</v>
      </c>
      <c r="J3" s="32">
        <v>126.2</v>
      </c>
      <c r="K3" s="153">
        <v>0.16200000000000001</v>
      </c>
    </row>
    <row r="4" spans="1:11" ht="16">
      <c r="C4" s="94">
        <v>4</v>
      </c>
      <c r="E4" s="33" t="s">
        <v>79</v>
      </c>
      <c r="F4" s="39">
        <v>1</v>
      </c>
      <c r="G4" s="45">
        <v>2</v>
      </c>
      <c r="I4" s="34" t="s">
        <v>41</v>
      </c>
      <c r="J4" s="32">
        <v>90.7</v>
      </c>
      <c r="K4" s="155">
        <v>1.7799999999999999E-4</v>
      </c>
    </row>
    <row r="5" spans="1:11" ht="16">
      <c r="C5" s="94">
        <v>5</v>
      </c>
      <c r="E5" s="34" t="s">
        <v>41</v>
      </c>
      <c r="F5" s="39">
        <v>2</v>
      </c>
      <c r="G5" s="45">
        <v>4</v>
      </c>
      <c r="I5" s="33" t="s">
        <v>35</v>
      </c>
      <c r="J5" s="32">
        <v>65.8</v>
      </c>
      <c r="K5" s="154">
        <v>1.8480000000000001</v>
      </c>
    </row>
    <row r="6" spans="1:11" ht="16">
      <c r="C6" s="94">
        <v>6</v>
      </c>
      <c r="E6" s="34" t="s">
        <v>119</v>
      </c>
      <c r="F6" s="39">
        <v>2</v>
      </c>
      <c r="G6" s="45">
        <v>3</v>
      </c>
      <c r="I6" s="34" t="s">
        <v>25</v>
      </c>
      <c r="J6" s="32">
        <v>43.4</v>
      </c>
      <c r="K6" s="152">
        <v>2.2999999999999998</v>
      </c>
    </row>
    <row r="7" spans="1:11" ht="16">
      <c r="C7" s="94">
        <v>7</v>
      </c>
      <c r="E7" s="35" t="s">
        <v>120</v>
      </c>
      <c r="F7" s="39">
        <v>3</v>
      </c>
      <c r="G7" s="45">
        <v>7</v>
      </c>
      <c r="I7" s="33" t="s">
        <v>26</v>
      </c>
      <c r="J7" s="32">
        <v>13.9</v>
      </c>
      <c r="K7" s="154">
        <v>7.87</v>
      </c>
    </row>
    <row r="8" spans="1:11" ht="16">
      <c r="C8" s="94">
        <v>8</v>
      </c>
      <c r="E8" s="33" t="s">
        <v>35</v>
      </c>
      <c r="F8" s="39">
        <v>4</v>
      </c>
      <c r="G8" s="45">
        <v>9</v>
      </c>
      <c r="I8" s="35" t="s">
        <v>16</v>
      </c>
      <c r="J8" s="32">
        <v>12.9</v>
      </c>
      <c r="K8" s="154">
        <v>8.93</v>
      </c>
    </row>
    <row r="9" spans="1:11" ht="16">
      <c r="C9" s="94">
        <v>9</v>
      </c>
      <c r="E9" s="34" t="s">
        <v>25</v>
      </c>
      <c r="F9" s="39">
        <v>6</v>
      </c>
      <c r="G9" s="45">
        <v>12</v>
      </c>
      <c r="I9" s="33" t="s">
        <v>121</v>
      </c>
      <c r="J9" s="32">
        <v>6.3</v>
      </c>
      <c r="K9" s="154">
        <v>19.3</v>
      </c>
    </row>
    <row r="10" spans="1:11" ht="16">
      <c r="C10" s="94">
        <v>10</v>
      </c>
      <c r="E10" s="34" t="s">
        <v>122</v>
      </c>
      <c r="F10" s="39">
        <v>7</v>
      </c>
      <c r="G10" s="45">
        <v>14</v>
      </c>
      <c r="I10" s="34" t="s">
        <v>123</v>
      </c>
      <c r="J10" s="32">
        <v>16.2</v>
      </c>
      <c r="K10" s="154">
        <v>4.5</v>
      </c>
    </row>
    <row r="11" spans="1:11" ht="16">
      <c r="C11" s="94">
        <v>11</v>
      </c>
      <c r="E11" s="34" t="s">
        <v>124</v>
      </c>
      <c r="F11" s="39">
        <v>7</v>
      </c>
      <c r="G11" s="45">
        <v>15</v>
      </c>
      <c r="I11" s="33" t="s">
        <v>125</v>
      </c>
      <c r="J11" s="31">
        <v>41.3</v>
      </c>
      <c r="K11" s="154">
        <v>3.01</v>
      </c>
    </row>
    <row r="12" spans="1:11" ht="17" thickBot="1">
      <c r="C12" s="94">
        <v>12</v>
      </c>
      <c r="E12" s="34" t="s">
        <v>31</v>
      </c>
      <c r="F12" s="39">
        <v>8</v>
      </c>
      <c r="G12" s="45">
        <v>16</v>
      </c>
      <c r="I12" s="36" t="s">
        <v>126</v>
      </c>
      <c r="J12" s="170">
        <v>44.8</v>
      </c>
      <c r="K12" s="156">
        <v>0.93</v>
      </c>
    </row>
    <row r="13" spans="1:11" ht="17" thickBot="1">
      <c r="C13" s="94">
        <v>13</v>
      </c>
      <c r="E13" s="34" t="s">
        <v>127</v>
      </c>
      <c r="F13" s="39">
        <v>10</v>
      </c>
      <c r="G13" s="45">
        <v>20</v>
      </c>
      <c r="I13" s="157"/>
      <c r="J13" s="158" t="s">
        <v>128</v>
      </c>
      <c r="K13" s="159" t="s">
        <v>129</v>
      </c>
    </row>
    <row r="14" spans="1:11" ht="16">
      <c r="C14" s="94">
        <v>14</v>
      </c>
      <c r="E14" s="33" t="s">
        <v>33</v>
      </c>
      <c r="F14" s="39">
        <v>13</v>
      </c>
      <c r="G14" s="45">
        <v>27</v>
      </c>
    </row>
    <row r="15" spans="1:11" ht="16">
      <c r="C15" s="94">
        <v>15</v>
      </c>
      <c r="E15" s="34" t="s">
        <v>29</v>
      </c>
      <c r="F15" s="39">
        <v>14</v>
      </c>
      <c r="G15" s="45">
        <v>28</v>
      </c>
    </row>
    <row r="16" spans="1:11" ht="16">
      <c r="C16" s="94">
        <v>16</v>
      </c>
      <c r="E16" s="34" t="s">
        <v>130</v>
      </c>
      <c r="F16" s="39">
        <v>18</v>
      </c>
      <c r="G16" s="45">
        <v>40</v>
      </c>
    </row>
    <row r="17" spans="3:7" ht="16">
      <c r="C17" s="94">
        <v>17</v>
      </c>
      <c r="E17" s="33" t="s">
        <v>26</v>
      </c>
      <c r="F17" s="39">
        <v>26</v>
      </c>
      <c r="G17" s="45">
        <v>56</v>
      </c>
    </row>
    <row r="18" spans="3:7" ht="16">
      <c r="C18" s="94">
        <v>18</v>
      </c>
      <c r="E18" s="35" t="s">
        <v>16</v>
      </c>
      <c r="F18" s="39">
        <v>29</v>
      </c>
      <c r="G18" s="45">
        <v>63.5</v>
      </c>
    </row>
    <row r="19" spans="3:7" ht="16">
      <c r="C19" s="94">
        <v>19</v>
      </c>
      <c r="E19" s="35" t="s">
        <v>131</v>
      </c>
      <c r="F19" s="39">
        <v>32</v>
      </c>
      <c r="G19" s="45">
        <v>73</v>
      </c>
    </row>
    <row r="20" spans="3:7" ht="16">
      <c r="C20" s="94">
        <v>20</v>
      </c>
      <c r="E20" s="35" t="s">
        <v>132</v>
      </c>
      <c r="F20" s="39">
        <v>54</v>
      </c>
      <c r="G20" s="45">
        <v>131</v>
      </c>
    </row>
    <row r="21" spans="3:7" ht="16">
      <c r="C21" s="94">
        <v>21</v>
      </c>
      <c r="E21" s="35" t="s">
        <v>133</v>
      </c>
      <c r="F21" s="39">
        <v>74</v>
      </c>
      <c r="G21" s="45">
        <v>184</v>
      </c>
    </row>
    <row r="22" spans="3:7" ht="16">
      <c r="C22" s="94">
        <v>22</v>
      </c>
      <c r="E22" s="35" t="s">
        <v>134</v>
      </c>
      <c r="F22" s="39">
        <v>78</v>
      </c>
      <c r="G22" s="45">
        <v>195</v>
      </c>
    </row>
    <row r="23" spans="3:7" ht="16">
      <c r="C23" s="94">
        <v>23</v>
      </c>
      <c r="E23" s="35" t="s">
        <v>135</v>
      </c>
      <c r="F23" s="39">
        <v>82</v>
      </c>
      <c r="G23" s="45">
        <v>207</v>
      </c>
    </row>
    <row r="24" spans="3:7" ht="16">
      <c r="C24" s="94">
        <v>24</v>
      </c>
      <c r="E24" s="35" t="s">
        <v>136</v>
      </c>
      <c r="F24" s="39">
        <v>92</v>
      </c>
      <c r="G24" s="45">
        <v>238</v>
      </c>
    </row>
    <row r="25" spans="3:7" ht="16">
      <c r="C25" s="94">
        <v>25</v>
      </c>
      <c r="E25" s="33" t="s">
        <v>121</v>
      </c>
      <c r="F25" s="39">
        <v>79</v>
      </c>
      <c r="G25" s="45">
        <v>200</v>
      </c>
    </row>
    <row r="26" spans="3:7" ht="17" thickBot="1">
      <c r="C26" s="94">
        <v>26</v>
      </c>
      <c r="E26" s="160" t="s">
        <v>123</v>
      </c>
      <c r="F26" s="40">
        <v>81</v>
      </c>
      <c r="G26" s="54">
        <v>204</v>
      </c>
    </row>
    <row r="27" spans="3:7" ht="17" thickBot="1">
      <c r="C27" s="94">
        <v>27</v>
      </c>
      <c r="E27" s="164">
        <v>0</v>
      </c>
      <c r="F27" s="165"/>
      <c r="G27" s="166"/>
    </row>
    <row r="28" spans="3:7">
      <c r="C28" s="94">
        <v>28</v>
      </c>
    </row>
    <row r="29" spans="3:7">
      <c r="C29" s="94">
        <v>29</v>
      </c>
    </row>
    <row r="30" spans="3:7">
      <c r="C30" s="94">
        <v>30</v>
      </c>
    </row>
    <row r="31" spans="3:7">
      <c r="C31" s="94">
        <v>31</v>
      </c>
    </row>
    <row r="32" spans="3:7">
      <c r="C32" s="94">
        <v>32</v>
      </c>
    </row>
    <row r="33" spans="3:3">
      <c r="C33" s="94">
        <v>33</v>
      </c>
    </row>
    <row r="34" spans="3:3">
      <c r="C34" s="94">
        <v>34</v>
      </c>
    </row>
    <row r="35" spans="3:3">
      <c r="C35" s="94">
        <v>35</v>
      </c>
    </row>
    <row r="36" spans="3:3">
      <c r="C36" s="94">
        <v>36</v>
      </c>
    </row>
    <row r="37" spans="3:3">
      <c r="C37" s="94">
        <v>37</v>
      </c>
    </row>
    <row r="38" spans="3:3">
      <c r="C38" s="94">
        <v>38</v>
      </c>
    </row>
    <row r="39" spans="3:3">
      <c r="C39" s="94">
        <v>39</v>
      </c>
    </row>
    <row r="40" spans="3:3">
      <c r="C40" s="94">
        <v>40</v>
      </c>
    </row>
    <row r="41" spans="3:3">
      <c r="C41" s="94">
        <v>41</v>
      </c>
    </row>
    <row r="42" spans="3:3">
      <c r="C42" s="94">
        <v>42</v>
      </c>
    </row>
    <row r="43" spans="3:3">
      <c r="C43" s="94">
        <v>43</v>
      </c>
    </row>
    <row r="44" spans="3:3">
      <c r="C44" s="94">
        <v>44</v>
      </c>
    </row>
    <row r="45" spans="3:3">
      <c r="C45" s="94">
        <v>45</v>
      </c>
    </row>
    <row r="46" spans="3:3">
      <c r="C46" s="94">
        <v>46</v>
      </c>
    </row>
    <row r="47" spans="3:3">
      <c r="C47" s="94">
        <v>47</v>
      </c>
    </row>
    <row r="48" spans="3:3">
      <c r="C48" s="94">
        <v>48</v>
      </c>
    </row>
    <row r="49" spans="3:3">
      <c r="C49" s="94">
        <v>49</v>
      </c>
    </row>
    <row r="50" spans="3:3" ht="14" thickBot="1">
      <c r="C50" s="95">
        <v>50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Dialogs</vt:lpstr>
      </vt:variant>
      <vt:variant>
        <vt:i4>3</vt:i4>
      </vt:variant>
      <vt:variant>
        <vt:lpstr>Named Ranges</vt:lpstr>
      </vt:variant>
      <vt:variant>
        <vt:i4>74</vt:i4>
      </vt:variant>
    </vt:vector>
  </HeadingPairs>
  <TitlesOfParts>
    <vt:vector size="85" baseType="lpstr">
      <vt:lpstr>Radiation budget</vt:lpstr>
      <vt:lpstr>defaultA</vt:lpstr>
      <vt:lpstr>defaultC</vt:lpstr>
      <vt:lpstr>print sheet</vt:lpstr>
      <vt:lpstr>RBM1-6_results</vt:lpstr>
      <vt:lpstr>data</vt:lpstr>
      <vt:lpstr>Sheet1</vt:lpstr>
      <vt:lpstr>data1</vt:lpstr>
      <vt:lpstr>Dialog4</vt:lpstr>
      <vt:lpstr>Dialog1</vt:lpstr>
      <vt:lpstr>Dialog3</vt:lpstr>
      <vt:lpstr>A_data</vt:lpstr>
      <vt:lpstr>'print sheet'!add_target1</vt:lpstr>
      <vt:lpstr>add_target1</vt:lpstr>
      <vt:lpstr>'print sheet'!add_target2</vt:lpstr>
      <vt:lpstr>add_target2</vt:lpstr>
      <vt:lpstr>'print sheet'!add_target3</vt:lpstr>
      <vt:lpstr>add_target3</vt:lpstr>
      <vt:lpstr>add_target4</vt:lpstr>
      <vt:lpstr>aden</vt:lpstr>
      <vt:lpstr>att</vt:lpstr>
      <vt:lpstr>'print sheet'!char</vt:lpstr>
      <vt:lpstr>char</vt:lpstr>
      <vt:lpstr>'print sheet'!critical_dumpline</vt:lpstr>
      <vt:lpstr>critical_dumpline</vt:lpstr>
      <vt:lpstr>'print sheet'!cryo_tgt_window</vt:lpstr>
      <vt:lpstr>cryo_tgt_window</vt:lpstr>
      <vt:lpstr>cur</vt:lpstr>
      <vt:lpstr>d</vt:lpstr>
      <vt:lpstr>'print sheet'!default</vt:lpstr>
      <vt:lpstr>default</vt:lpstr>
      <vt:lpstr>defaultC!defaultA</vt:lpstr>
      <vt:lpstr>defaultA</vt:lpstr>
      <vt:lpstr>defaultC</vt:lpstr>
      <vt:lpstr>density</vt:lpstr>
      <vt:lpstr>dist</vt:lpstr>
      <vt:lpstr>'print sheet'!dumpline</vt:lpstr>
      <vt:lpstr>dumpline_nonscatt.</vt:lpstr>
      <vt:lpstr>dumpline_scattering</vt:lpstr>
      <vt:lpstr>e0</vt:lpstr>
      <vt:lpstr>e01_</vt:lpstr>
      <vt:lpstr>e02_</vt:lpstr>
      <vt:lpstr>ee0</vt:lpstr>
      <vt:lpstr>emi</vt:lpstr>
      <vt:lpstr>'print sheet'!exit_window</vt:lpstr>
      <vt:lpstr>exit_window</vt:lpstr>
      <vt:lpstr>'print sheet'!exp_target1</vt:lpstr>
      <vt:lpstr>exp_target1</vt:lpstr>
      <vt:lpstr>FirstCol</vt:lpstr>
      <vt:lpstr>'print sheet'!FirstFirst</vt:lpstr>
      <vt:lpstr>FirstFirst</vt:lpstr>
      <vt:lpstr>fracscat</vt:lpstr>
      <vt:lpstr>hmax</vt:lpstr>
      <vt:lpstr>lam</vt:lpstr>
      <vt:lpstr>LastCol</vt:lpstr>
      <vt:lpstr>LastLast</vt:lpstr>
      <vt:lpstr>material</vt:lpstr>
      <vt:lpstr>material1</vt:lpstr>
      <vt:lpstr>ng</vt:lpstr>
      <vt:lpstr>'print sheet'!nonscattering_target</vt:lpstr>
      <vt:lpstr>nonscattering_target</vt:lpstr>
      <vt:lpstr>'print sheet'!NonUserRows</vt:lpstr>
      <vt:lpstr>nset</vt:lpstr>
      <vt:lpstr>'print sheet'!OptionButtonKey</vt:lpstr>
      <vt:lpstr>OptionButtonKey</vt:lpstr>
      <vt:lpstr>othera</vt:lpstr>
      <vt:lpstr>otherb</vt:lpstr>
      <vt:lpstr>otherc</vt:lpstr>
      <vt:lpstr>pos</vt:lpstr>
      <vt:lpstr>'print sheet'!Print_Area</vt:lpstr>
      <vt:lpstr>rad</vt:lpstr>
      <vt:lpstr>'print sheet'!radiator</vt:lpstr>
      <vt:lpstr>radiator</vt:lpstr>
      <vt:lpstr>rra</vt:lpstr>
      <vt:lpstr>rrb</vt:lpstr>
      <vt:lpstr>rrc</vt:lpstr>
      <vt:lpstr>scatt_weight_factor</vt:lpstr>
      <vt:lpstr>tni</vt:lpstr>
      <vt:lpstr>tt</vt:lpstr>
      <vt:lpstr>Xo</vt:lpstr>
      <vt:lpstr>xtarg</vt:lpstr>
      <vt:lpstr>xthick</vt:lpstr>
      <vt:lpstr>Z_data</vt:lpstr>
      <vt:lpstr>zden</vt:lpstr>
      <vt:lpstr>zz</vt:lpstr>
    </vt:vector>
  </TitlesOfParts>
  <Company>Jefferson Lab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royenko</dc:creator>
  <cp:lastModifiedBy>Adam Stavola</cp:lastModifiedBy>
  <cp:lastPrinted>2020-10-19T13:37:26Z</cp:lastPrinted>
  <dcterms:created xsi:type="dcterms:W3CDTF">1997-07-09T17:37:07Z</dcterms:created>
  <dcterms:modified xsi:type="dcterms:W3CDTF">2021-12-15T20:28:10Z</dcterms:modified>
</cp:coreProperties>
</file>